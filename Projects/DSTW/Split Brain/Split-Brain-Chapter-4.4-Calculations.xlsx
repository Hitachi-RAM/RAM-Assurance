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itachigroupeur-my.sharepoint.com/personal/florian_moser_gts_hitachirail_com/Documents/RAM-Assurance/RAM-Assurance-1/Projects/DSTW/Split Brain/"/>
    </mc:Choice>
  </mc:AlternateContent>
  <xr:revisionPtr revIDLastSave="0" documentId="11_3761EC1B7660F486699A68A81BCF414815A1334D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Assumptions" sheetId="1" r:id="rId1"/>
    <sheet name="4.4 Calculation" sheetId="2" r:id="rId2"/>
    <sheet name="4.4 Summary" sheetId="3" r:id="rId3"/>
    <sheet name="8h Trace" sheetId="4" r:id="rId4"/>
    <sheet name="All MTTR Trace" sheetId="5" r:id="rId5"/>
    <sheet name="Formula Guide" sheetId="6" r:id="rId6"/>
  </sheets>
  <definedNames>
    <definedName name="_xlnm._FilterDatabase" localSheetId="1" hidden="1">'4.4 Calculation'!$A$3:$L$8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5" l="1"/>
  <c r="A7" i="5"/>
  <c r="A6" i="5"/>
  <c r="A5" i="5"/>
  <c r="A4" i="5"/>
  <c r="C10" i="4"/>
  <c r="C6" i="4"/>
  <c r="C5" i="4"/>
  <c r="C4" i="4"/>
  <c r="D17" i="3"/>
  <c r="A17" i="3" s="1"/>
  <c r="D16" i="3"/>
  <c r="A16" i="3" s="1"/>
  <c r="D15" i="3"/>
  <c r="A15" i="3" s="1"/>
  <c r="F15" i="3" s="1"/>
  <c r="D14" i="3"/>
  <c r="A14" i="3" s="1"/>
  <c r="D13" i="3"/>
  <c r="A13" i="3" s="1"/>
  <c r="B13" i="3" s="1"/>
  <c r="C13" i="3" s="1"/>
  <c r="D8" i="3"/>
  <c r="A8" i="3" s="1"/>
  <c r="F8" i="3" s="1"/>
  <c r="D7" i="3"/>
  <c r="A7" i="3" s="1"/>
  <c r="D6" i="3"/>
  <c r="A6" i="3" s="1"/>
  <c r="F6" i="3" s="1"/>
  <c r="D5" i="3"/>
  <c r="A5" i="3" s="1"/>
  <c r="D4" i="3"/>
  <c r="A4" i="3" s="1"/>
  <c r="F4" i="3" s="1"/>
  <c r="G8" i="2"/>
  <c r="E8" i="5" s="1"/>
  <c r="C8" i="2"/>
  <c r="E8" i="2" s="1"/>
  <c r="C8" i="5" s="1"/>
  <c r="B8" i="2"/>
  <c r="D8" i="2" s="1"/>
  <c r="G7" i="2"/>
  <c r="E7" i="5" s="1"/>
  <c r="C7" i="2"/>
  <c r="E7" i="2" s="1"/>
  <c r="C7" i="5" s="1"/>
  <c r="B7" i="2"/>
  <c r="D7" i="2" s="1"/>
  <c r="G6" i="2"/>
  <c r="E6" i="5" s="1"/>
  <c r="C6" i="2"/>
  <c r="E6" i="2" s="1"/>
  <c r="C6" i="5" s="1"/>
  <c r="B6" i="2"/>
  <c r="D6" i="2" s="1"/>
  <c r="G5" i="2"/>
  <c r="E5" i="5" s="1"/>
  <c r="C5" i="2"/>
  <c r="E5" i="2" s="1"/>
  <c r="C5" i="5" s="1"/>
  <c r="B5" i="2"/>
  <c r="D5" i="2" s="1"/>
  <c r="G4" i="2"/>
  <c r="E4" i="5" s="1"/>
  <c r="C4" i="2"/>
  <c r="E4" i="2" s="1"/>
  <c r="C4" i="5" s="1"/>
  <c r="B4" i="2"/>
  <c r="D4" i="2" s="1"/>
  <c r="B8" i="1"/>
  <c r="C7" i="4" l="1"/>
  <c r="C11" i="4"/>
  <c r="F17" i="3"/>
  <c r="E17" i="3" s="1"/>
  <c r="B17" i="3"/>
  <c r="C17" i="3" s="1"/>
  <c r="C8" i="4"/>
  <c r="F6" i="2"/>
  <c r="D6" i="5" s="1"/>
  <c r="B6" i="3"/>
  <c r="C6" i="3" s="1"/>
  <c r="G6" i="3"/>
  <c r="H6" i="3" s="1"/>
  <c r="E6" i="3"/>
  <c r="B7" i="3"/>
  <c r="C7" i="3" s="1"/>
  <c r="F7" i="3"/>
  <c r="G8" i="3"/>
  <c r="H8" i="3" s="1"/>
  <c r="E8" i="3"/>
  <c r="B4" i="5"/>
  <c r="F4" i="2"/>
  <c r="F7" i="2"/>
  <c r="F8" i="2"/>
  <c r="B8" i="5"/>
  <c r="F14" i="3"/>
  <c r="B14" i="3"/>
  <c r="C14" i="3" s="1"/>
  <c r="B5" i="5"/>
  <c r="F5" i="2"/>
  <c r="E15" i="3"/>
  <c r="G15" i="3"/>
  <c r="H15" i="3" s="1"/>
  <c r="E4" i="3"/>
  <c r="G4" i="3"/>
  <c r="H4" i="3" s="1"/>
  <c r="B16" i="3"/>
  <c r="C16" i="3" s="1"/>
  <c r="F16" i="3"/>
  <c r="B5" i="3"/>
  <c r="C5" i="3" s="1"/>
  <c r="F5" i="3"/>
  <c r="B6" i="5"/>
  <c r="B4" i="3"/>
  <c r="C4" i="3" s="1"/>
  <c r="B15" i="3"/>
  <c r="C15" i="3" s="1"/>
  <c r="F13" i="3"/>
  <c r="B8" i="3"/>
  <c r="C8" i="3" s="1"/>
  <c r="B7" i="5"/>
  <c r="G17" i="3" l="1"/>
  <c r="H17" i="3" s="1"/>
  <c r="C9" i="4"/>
  <c r="C12" i="4" s="1"/>
  <c r="C15" i="4" s="1"/>
  <c r="H6" i="2"/>
  <c r="K6" i="2" s="1"/>
  <c r="D4" i="5"/>
  <c r="H4" i="2"/>
  <c r="D7" i="5"/>
  <c r="H7" i="2"/>
  <c r="G13" i="3"/>
  <c r="H13" i="3" s="1"/>
  <c r="E13" i="3"/>
  <c r="H5" i="2"/>
  <c r="D5" i="5"/>
  <c r="G5" i="3"/>
  <c r="H5" i="3" s="1"/>
  <c r="E5" i="3"/>
  <c r="E16" i="3"/>
  <c r="G16" i="3"/>
  <c r="H16" i="3" s="1"/>
  <c r="E7" i="3"/>
  <c r="G7" i="3"/>
  <c r="H7" i="3" s="1"/>
  <c r="H8" i="2"/>
  <c r="D8" i="5"/>
  <c r="E14" i="3"/>
  <c r="G14" i="3"/>
  <c r="H14" i="3" s="1"/>
  <c r="I6" i="2" l="1"/>
  <c r="J6" i="2" s="1"/>
  <c r="G6" i="5" s="1"/>
  <c r="F6" i="5"/>
  <c r="C13" i="4"/>
  <c r="C14" i="4" s="1"/>
  <c r="I7" i="2"/>
  <c r="J7" i="2" s="1"/>
  <c r="G7" i="5" s="1"/>
  <c r="F7" i="5"/>
  <c r="K7" i="2"/>
  <c r="K4" i="2"/>
  <c r="I4" i="2"/>
  <c r="J4" i="2" s="1"/>
  <c r="G4" i="5" s="1"/>
  <c r="F4" i="5"/>
  <c r="I8" i="2"/>
  <c r="J8" i="2" s="1"/>
  <c r="G8" i="5" s="1"/>
  <c r="K8" i="2"/>
  <c r="F8" i="5"/>
  <c r="F5" i="5"/>
  <c r="K5" i="2"/>
  <c r="I5" i="2"/>
  <c r="J5" i="2" s="1"/>
  <c r="G5" i="5" s="1"/>
  <c r="H6" i="5"/>
  <c r="L6" i="2"/>
  <c r="I6" i="5" s="1"/>
  <c r="H5" i="5" l="1"/>
  <c r="L5" i="2"/>
  <c r="I5" i="5" s="1"/>
  <c r="H8" i="5"/>
  <c r="L8" i="2"/>
  <c r="I8" i="5" s="1"/>
  <c r="H4" i="5"/>
  <c r="L4" i="2"/>
  <c r="I4" i="5" s="1"/>
  <c r="H7" i="5"/>
  <c r="L7" i="2"/>
  <c r="I7" i="5" s="1"/>
</calcChain>
</file>

<file path=xl/sharedStrings.xml><?xml version="1.0" encoding="utf-8"?>
<sst xmlns="http://schemas.openxmlformats.org/spreadsheetml/2006/main" count="147" uniqueCount="110">
  <si>
    <t>DSTW Split Brain - Chapter 4.4 Calculation Workbook</t>
  </si>
  <si>
    <t>Editable input</t>
  </si>
  <si>
    <t>Value</t>
  </si>
  <si>
    <t>Unit</t>
  </si>
  <si>
    <t>Purpose</t>
  </si>
  <si>
    <t>Core-router FIT</t>
  </si>
  <si>
    <t>FIT</t>
  </si>
  <si>
    <t>Failure rate for each core router</t>
  </si>
  <si>
    <t>Single-router FIT</t>
  </si>
  <si>
    <t>Failure rate for the single router</t>
  </si>
  <si>
    <t>CCF beta factor</t>
  </si>
  <si>
    <t>-</t>
  </si>
  <si>
    <t>Fraction of each core-router rate assigned to CCF</t>
  </si>
  <si>
    <t>Hours per year</t>
  </si>
  <si>
    <t>h/year</t>
  </si>
  <si>
    <t>Conversion constant</t>
  </si>
  <si>
    <t>Minutes per year</t>
  </si>
  <si>
    <t>min/year</t>
  </si>
  <si>
    <t>Seconds per minute</t>
  </si>
  <si>
    <t>sec/min</t>
  </si>
  <si>
    <t>Model assumptions</t>
  </si>
  <si>
    <t>1oo2 core routers are hot redundant; one independent failure is tolerated.</t>
  </si>
  <si>
    <t>All MTTR values are assumed equal and the combined unavailable-state duration is approximated by MTTR.</t>
  </si>
  <si>
    <t>The single router is assumed independent of the core-router pair.</t>
  </si>
  <si>
    <t>The low-unavailability approximation is intended for RAM sensitivity analysis, not final safety justification.</t>
  </si>
  <si>
    <t>Chapter 4.4 - Combined failure calculation</t>
  </si>
  <si>
    <t>MTTR (h)</t>
  </si>
  <si>
    <t>Core CCF rate (FIT)</t>
  </si>
  <si>
    <t>Core independent rate (FIT)</t>
  </si>
  <si>
    <t>U core CCF</t>
  </si>
  <si>
    <t>U core independent</t>
  </si>
  <si>
    <t>U core total</t>
  </si>
  <si>
    <t>U single router</t>
  </si>
  <si>
    <t>U triple total</t>
  </si>
  <si>
    <t>Triple rate (h^-1)</t>
  </si>
  <si>
    <t>Triple rate (FIT)</t>
  </si>
  <si>
    <t>Downtime (min/y)</t>
  </si>
  <si>
    <t>Downtime (sec/y)</t>
  </si>
  <si>
    <t>Formula interpretation</t>
  </si>
  <si>
    <t>U core total = core CCF unavailability + independent 1oo2 double-failure unavailability.</t>
  </si>
  <si>
    <t>U triple total = U core total x U single router.</t>
  </si>
  <si>
    <t>The single-router term is required because total network failure needs both the core-router pair and the single router unavailable.</t>
  </si>
  <si>
    <t>Chapter 4.4 Summary - Requested RAM fields</t>
  </si>
  <si>
    <t>1oo2 core-router pair including CCF, beta = 0.02</t>
  </si>
  <si>
    <t>FiT</t>
  </si>
  <si>
    <t>MTBF (h)</t>
  </si>
  <si>
    <t>MTBF (y)</t>
  </si>
  <si>
    <t>Availability</t>
  </si>
  <si>
    <t>Unavailability</t>
  </si>
  <si>
    <t>Downtime (min/year)</t>
  </si>
  <si>
    <t>Downtime (sec/year)</t>
  </si>
  <si>
    <t>1oo2 core-router pair without CCF</t>
  </si>
  <si>
    <t>8-hour worked example</t>
  </si>
  <si>
    <t>Layer</t>
  </si>
  <si>
    <t>Calculation</t>
  </si>
  <si>
    <t>Excel formula / value</t>
  </si>
  <si>
    <t>Result</t>
  </si>
  <si>
    <t>Inputs</t>
  </si>
  <si>
    <t>MTTR</t>
  </si>
  <si>
    <t>8 h</t>
  </si>
  <si>
    <t>Layer 1</t>
  </si>
  <si>
    <t>Core CCF rate</t>
  </si>
  <si>
    <t>200 FIT</t>
  </si>
  <si>
    <t>Core independent rate</t>
  </si>
  <si>
    <t>9800 FIT</t>
  </si>
  <si>
    <t>1.60E-6</t>
  </si>
  <si>
    <t>1.229312E-8</t>
  </si>
  <si>
    <t>1.61229312E-6</t>
  </si>
  <si>
    <t>Layer 2</t>
  </si>
  <si>
    <t>Single-router rate</t>
  </si>
  <si>
    <t>3.5E-6 /h</t>
  </si>
  <si>
    <t>2.8E-5</t>
  </si>
  <si>
    <t>Layer 3</t>
  </si>
  <si>
    <t>4.514420736E-11</t>
  </si>
  <si>
    <t>Combined failure rate</t>
  </si>
  <si>
    <t>5.643E-12 /h</t>
  </si>
  <si>
    <t>Combined rate in FIT</t>
  </si>
  <si>
    <t>0.005643 FIT</t>
  </si>
  <si>
    <t>Downtime sec/year</t>
  </si>
  <si>
    <t>0.001424 sec/y</t>
  </si>
  <si>
    <t>Three-layer calculation for all MTTR values</t>
  </si>
  <si>
    <t>Layer 1: U core CCF</t>
  </si>
  <si>
    <t>Layer 1: U core independent</t>
  </si>
  <si>
    <t>Layer 1: U core total</t>
  </si>
  <si>
    <t>Layer 2: U single router</t>
  </si>
  <si>
    <t>Layer 3: U triple total</t>
  </si>
  <si>
    <t>Combined rate (FIT)</t>
  </si>
  <si>
    <t>Each row follows the same sequence: core-router pair unavailability, single-router unavailability, then simultaneous overlap.</t>
  </si>
  <si>
    <t>Formula guide</t>
  </si>
  <si>
    <t>Quantity</t>
  </si>
  <si>
    <t>Formula</t>
  </si>
  <si>
    <t>Meaning</t>
  </si>
  <si>
    <t>beta x lambda_CR</t>
  </si>
  <si>
    <t>CCF directly removes both core routers</t>
  </si>
  <si>
    <t>(1 - beta) x lambda_CR</t>
  </si>
  <si>
    <t>Independent portion of each core-router rate</t>
  </si>
  <si>
    <t>lambda_CCF x MTTR</t>
  </si>
  <si>
    <t>Unavailability from common-cause core loss</t>
  </si>
  <si>
    <t>2 x (lambda_CR,ind x MTTR)^2</t>
  </si>
  <si>
    <t>Independent 1oo2 double failure; factor 2 for either first failure</t>
  </si>
  <si>
    <t>U core CCF + U core independent</t>
  </si>
  <si>
    <t>Total core-router-pair unavailability</t>
  </si>
  <si>
    <t>lambda_S x MTTR</t>
  </si>
  <si>
    <t>Unavailability of the single router</t>
  </si>
  <si>
    <t>U core total x U single router</t>
  </si>
  <si>
    <t>All required failure conditions overlap</t>
  </si>
  <si>
    <t>U triple total / MTTR</t>
  </si>
  <si>
    <t>Equivalent rate using MTTR as combined exposure duration</t>
  </si>
  <si>
    <t>U triple total x 8760 x 3600</t>
  </si>
  <si>
    <t>Annual accumulated downtime in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</si>
</sst>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"/>
    <numFmt numFmtId="165" formatCode="0.000"/>
    <numFmt numFmtId="166" formatCode="0.000000000"/>
    <numFmt numFmtId="167" formatCode="0.000000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3" borderId="0" xfId="0" applyFill="1"/>
    <xf numFmtId="164" fontId="0" fillId="4" borderId="0" xfId="0" applyNumberFormat="1" applyFill="1"/>
    <xf numFmtId="0" fontId="0" fillId="4" borderId="0" xfId="0" applyFill="1"/>
    <xf numFmtId="0" fontId="3" fillId="0" borderId="0" xfId="0" applyFont="1"/>
    <xf numFmtId="0" fontId="0" fillId="3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7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AT"/>
              <a:t>Combined downtime versus MTTR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'4.4 Calculation'!$L$3</c:f>
              <c:strCache>
                <c:ptCount val="1"/>
                <c:pt idx="0">
                  <c:v>Downtime (sec/y)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'4.4 Calculation'!$A$4:$A$8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24</c:v>
                </c:pt>
              </c:numCache>
            </c:numRef>
          </c:cat>
          <c:val>
            <c:numRef>
              <c:f>'4.4 Calculation'!$L$4:$L$8</c:f>
              <c:numCache>
                <c:formatCode>0.000000000000</c:formatCode>
                <c:ptCount val="5"/>
                <c:pt idx="0">
                  <c:v>2.2096401022079998E-5</c:v>
                </c:pt>
                <c:pt idx="1">
                  <c:v>3.5456006541311998E-4</c:v>
                </c:pt>
                <c:pt idx="2">
                  <c:v>1.4236677233049598E-3</c:v>
                </c:pt>
                <c:pt idx="3">
                  <c:v>3.2154641661542391E-3</c:v>
                </c:pt>
                <c:pt idx="4">
                  <c:v>1.300839812923392E-2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7C-47D8-BB4C-D803DCF52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MTTR (hours)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Downtime (sec/year)</a:t>
                </a:r>
              </a:p>
            </c:rich>
          </c:tx>
          <c:overlay val="1"/>
        </c:title>
        <c:numFmt formatCode="0.000000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28" customWidth="1"/>
    <col min="2" max="2" width="16" customWidth="1"/>
    <col min="3" max="3" width="14" customWidth="1"/>
    <col min="4" max="4" width="62" customWidth="1"/>
  </cols>
  <sheetData>
    <row r="1" spans="1:4" ht="18.75" x14ac:dyDescent="0.3">
      <c r="A1" s="15" t="s">
        <v>0</v>
      </c>
      <c r="B1" s="16"/>
      <c r="C1" s="16"/>
      <c r="D1" s="16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t="s">
        <v>5</v>
      </c>
      <c r="B4" s="2">
        <v>10000</v>
      </c>
      <c r="C4" t="s">
        <v>6</v>
      </c>
      <c r="D4" t="s">
        <v>7</v>
      </c>
    </row>
    <row r="5" spans="1:4" x14ac:dyDescent="0.25">
      <c r="A5" t="s">
        <v>8</v>
      </c>
      <c r="B5" s="2">
        <v>3500</v>
      </c>
      <c r="C5" t="s">
        <v>6</v>
      </c>
      <c r="D5" t="s">
        <v>9</v>
      </c>
    </row>
    <row r="6" spans="1:4" x14ac:dyDescent="0.25">
      <c r="A6" t="s">
        <v>10</v>
      </c>
      <c r="B6" s="2">
        <v>0.02</v>
      </c>
      <c r="C6" t="s">
        <v>11</v>
      </c>
      <c r="D6" t="s">
        <v>12</v>
      </c>
    </row>
    <row r="7" spans="1:4" x14ac:dyDescent="0.25">
      <c r="A7" t="s">
        <v>13</v>
      </c>
      <c r="B7" s="2">
        <v>8760</v>
      </c>
      <c r="C7" t="s">
        <v>14</v>
      </c>
      <c r="D7" t="s">
        <v>15</v>
      </c>
    </row>
    <row r="8" spans="1:4" x14ac:dyDescent="0.25">
      <c r="A8" t="s">
        <v>16</v>
      </c>
      <c r="B8" s="3">
        <f>B7*60</f>
        <v>525600</v>
      </c>
      <c r="C8" t="s">
        <v>17</v>
      </c>
      <c r="D8" t="s">
        <v>15</v>
      </c>
    </row>
    <row r="9" spans="1:4" x14ac:dyDescent="0.25">
      <c r="A9" t="s">
        <v>18</v>
      </c>
      <c r="B9" s="4">
        <v>60</v>
      </c>
      <c r="C9" t="s">
        <v>19</v>
      </c>
      <c r="D9" t="s">
        <v>15</v>
      </c>
    </row>
    <row r="12" spans="1:4" x14ac:dyDescent="0.25">
      <c r="A12" s="5" t="s">
        <v>20</v>
      </c>
    </row>
    <row r="13" spans="1:4" x14ac:dyDescent="0.25">
      <c r="A13" t="s">
        <v>21</v>
      </c>
    </row>
    <row r="14" spans="1:4" x14ac:dyDescent="0.25">
      <c r="A14" t="s">
        <v>22</v>
      </c>
    </row>
    <row r="15" spans="1:4" x14ac:dyDescent="0.25">
      <c r="A15" t="s">
        <v>23</v>
      </c>
    </row>
    <row r="16" spans="1:4" x14ac:dyDescent="0.25">
      <c r="A16" t="s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showGridLines="0" tabSelected="1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3" customWidth="1"/>
    <col min="2" max="2" width="18" customWidth="1"/>
    <col min="3" max="3" width="23" customWidth="1"/>
    <col min="4" max="4" width="15" customWidth="1"/>
    <col min="5" max="5" width="20" customWidth="1"/>
    <col min="6" max="8" width="15" customWidth="1"/>
    <col min="9" max="9" width="17" customWidth="1"/>
    <col min="10" max="11" width="18" customWidth="1"/>
    <col min="12" max="12" width="17" customWidth="1"/>
  </cols>
  <sheetData>
    <row r="1" spans="1:12" ht="18.75" x14ac:dyDescent="0.3">
      <c r="A1" s="15" t="s">
        <v>25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spans="1:12" ht="30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</row>
    <row r="4" spans="1:12" x14ac:dyDescent="0.25">
      <c r="A4" s="6">
        <v>1</v>
      </c>
      <c r="B4" s="7">
        <f>Assumptions!$B$4*Assumptions!$B$6</f>
        <v>200</v>
      </c>
      <c r="C4" s="7">
        <f>Assumptions!$B$4*(1-Assumptions!$B$6)</f>
        <v>9800</v>
      </c>
      <c r="D4" s="7">
        <f>B4/1000000000*A4</f>
        <v>1.9999999999999999E-7</v>
      </c>
      <c r="E4" s="7">
        <f>2*(C4/1000000000*A4)^2</f>
        <v>1.9207999999999997E-10</v>
      </c>
      <c r="F4" s="7">
        <f>D4+E4</f>
        <v>2.0019208E-7</v>
      </c>
      <c r="G4" s="7">
        <f>Assumptions!$B$5/1000000000*A4</f>
        <v>3.4999999999999999E-6</v>
      </c>
      <c r="H4" s="7">
        <f>F4*G4</f>
        <v>7.0067227999999992E-13</v>
      </c>
      <c r="I4" s="7">
        <f>H4/A4</f>
        <v>7.0067227999999992E-13</v>
      </c>
      <c r="J4" s="7">
        <f>I4*1000000000</f>
        <v>7.0067227999999991E-4</v>
      </c>
      <c r="K4" s="7">
        <f>H4*Assumptions!$B$8</f>
        <v>3.6827335036799995E-7</v>
      </c>
      <c r="L4" s="7">
        <f>K4*Assumptions!$B$9</f>
        <v>2.2096401022079998E-5</v>
      </c>
    </row>
    <row r="5" spans="1:12" x14ac:dyDescent="0.25">
      <c r="A5" s="6">
        <v>4</v>
      </c>
      <c r="B5" s="7">
        <f>Assumptions!$B$4*Assumptions!$B$6</f>
        <v>200</v>
      </c>
      <c r="C5" s="7">
        <f>Assumptions!$B$4*(1-Assumptions!$B$6)</f>
        <v>9800</v>
      </c>
      <c r="D5" s="7">
        <f>B5/1000000000*A5</f>
        <v>7.9999999999999996E-7</v>
      </c>
      <c r="E5" s="7">
        <f>2*(C5/1000000000*A5)^2</f>
        <v>3.0732799999999995E-9</v>
      </c>
      <c r="F5" s="7">
        <f>D5+E5</f>
        <v>8.0307327999999994E-7</v>
      </c>
      <c r="G5" s="7">
        <f>Assumptions!$B$5/1000000000*A5</f>
        <v>1.4E-5</v>
      </c>
      <c r="H5" s="7">
        <f>F5*G5</f>
        <v>1.1243025919999999E-11</v>
      </c>
      <c r="I5" s="7">
        <f>H5/A5</f>
        <v>2.8107564799999999E-12</v>
      </c>
      <c r="J5" s="7">
        <f>I5*1000000000</f>
        <v>2.81075648E-3</v>
      </c>
      <c r="K5" s="7">
        <f>H5*Assumptions!$B$8</f>
        <v>5.9093344235519999E-6</v>
      </c>
      <c r="L5" s="7">
        <f>K5*Assumptions!$B$9</f>
        <v>3.5456006541311998E-4</v>
      </c>
    </row>
    <row r="6" spans="1:12" x14ac:dyDescent="0.25">
      <c r="A6" s="6">
        <v>8</v>
      </c>
      <c r="B6" s="7">
        <f>Assumptions!$B$4*Assumptions!$B$6</f>
        <v>200</v>
      </c>
      <c r="C6" s="7">
        <f>Assumptions!$B$4*(1-Assumptions!$B$6)</f>
        <v>9800</v>
      </c>
      <c r="D6" s="7">
        <f>B6/1000000000*A6</f>
        <v>1.5999999999999999E-6</v>
      </c>
      <c r="E6" s="7">
        <f>2*(C6/1000000000*A6)^2</f>
        <v>1.2293119999999998E-8</v>
      </c>
      <c r="F6" s="7">
        <f>D6+E6</f>
        <v>1.6122931199999998E-6</v>
      </c>
      <c r="G6" s="7">
        <f>Assumptions!$B$5/1000000000*A6</f>
        <v>2.8E-5</v>
      </c>
      <c r="H6" s="7">
        <f>F6*G6</f>
        <v>4.5144207359999992E-11</v>
      </c>
      <c r="I6" s="7">
        <f>H6/A6</f>
        <v>5.6430259199999991E-12</v>
      </c>
      <c r="J6" s="7">
        <f>I6*1000000000</f>
        <v>5.6430259199999992E-3</v>
      </c>
      <c r="K6" s="7">
        <f>H6*Assumptions!$B$8</f>
        <v>2.3727795388415997E-5</v>
      </c>
      <c r="L6" s="7">
        <f>K6*Assumptions!$B$9</f>
        <v>1.4236677233049598E-3</v>
      </c>
    </row>
    <row r="7" spans="1:12" x14ac:dyDescent="0.25">
      <c r="A7" s="6">
        <v>12</v>
      </c>
      <c r="B7" s="7">
        <f>Assumptions!$B$4*Assumptions!$B$6</f>
        <v>200</v>
      </c>
      <c r="C7" s="7">
        <f>Assumptions!$B$4*(1-Assumptions!$B$6)</f>
        <v>9800</v>
      </c>
      <c r="D7" s="7">
        <f>B7/1000000000*A7</f>
        <v>2.3999999999999999E-6</v>
      </c>
      <c r="E7" s="7">
        <f>2*(C7/1000000000*A7)^2</f>
        <v>2.7659519999999993E-8</v>
      </c>
      <c r="F7" s="7">
        <f>D7+E7</f>
        <v>2.4276595199999998E-6</v>
      </c>
      <c r="G7" s="7">
        <f>Assumptions!$B$5/1000000000*A7</f>
        <v>4.1999999999999998E-5</v>
      </c>
      <c r="H7" s="7">
        <f>F7*G7</f>
        <v>1.0196169983999998E-10</v>
      </c>
      <c r="I7" s="7">
        <f>H7/A7</f>
        <v>8.4968083199999984E-12</v>
      </c>
      <c r="J7" s="7">
        <f>I7*1000000000</f>
        <v>8.4968083199999985E-3</v>
      </c>
      <c r="K7" s="7">
        <f>H7*Assumptions!$B$8</f>
        <v>5.3591069435903989E-5</v>
      </c>
      <c r="L7" s="7">
        <f>K7*Assumptions!$B$9</f>
        <v>3.2154641661542391E-3</v>
      </c>
    </row>
    <row r="8" spans="1:12" x14ac:dyDescent="0.25">
      <c r="A8" s="6">
        <v>24</v>
      </c>
      <c r="B8" s="7">
        <f>Assumptions!$B$4*Assumptions!$B$6</f>
        <v>200</v>
      </c>
      <c r="C8" s="7">
        <f>Assumptions!$B$4*(1-Assumptions!$B$6)</f>
        <v>9800</v>
      </c>
      <c r="D8" s="7">
        <f>B8/1000000000*A8</f>
        <v>4.7999999999999998E-6</v>
      </c>
      <c r="E8" s="7">
        <f>2*(C8/1000000000*A8)^2</f>
        <v>1.1063807999999997E-7</v>
      </c>
      <c r="F8" s="7">
        <f>D8+E8</f>
        <v>4.9106380800000001E-6</v>
      </c>
      <c r="G8" s="7">
        <f>Assumptions!$B$5/1000000000*A8</f>
        <v>8.3999999999999995E-5</v>
      </c>
      <c r="H8" s="7">
        <f>F8*G8</f>
        <v>4.1249359871999999E-10</v>
      </c>
      <c r="I8" s="7">
        <f>H8/A8</f>
        <v>1.7187233280000001E-11</v>
      </c>
      <c r="J8" s="7">
        <f>I8*1000000000</f>
        <v>1.7187233280000002E-2</v>
      </c>
      <c r="K8" s="7">
        <f>H8*Assumptions!$B$8</f>
        <v>2.1680663548723198E-4</v>
      </c>
      <c r="L8" s="7">
        <f>K8*Assumptions!$B$9</f>
        <v>1.300839812923392E-2</v>
      </c>
    </row>
    <row r="10" spans="1:12" x14ac:dyDescent="0.25">
      <c r="A10" s="5" t="s">
        <v>38</v>
      </c>
    </row>
    <row r="11" spans="1:12" x14ac:dyDescent="0.25">
      <c r="A11" t="s">
        <v>39</v>
      </c>
    </row>
    <row r="12" spans="1:12" x14ac:dyDescent="0.25">
      <c r="A12" t="s">
        <v>40</v>
      </c>
    </row>
    <row r="13" spans="1:12" x14ac:dyDescent="0.25">
      <c r="A13" t="s">
        <v>41</v>
      </c>
    </row>
  </sheetData>
  <autoFilter ref="A3:L8" xr:uid="{00000000-0009-0000-0000-000001000000}"/>
  <mergeCells count="1">
    <mergeCell ref="A1:L1"/>
  </mergeCells>
  <conditionalFormatting sqref="L4:L8">
    <cfRule type="cellIs" dxfId="0" priority="1" operator="greaterThan">
      <formula>0.001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workbookViewId="0">
      <pane ySplit="3" topLeftCell="A4" activePane="bottomLeft" state="frozen"/>
      <selection pane="bottomLeft" activeCell="A8" sqref="A8"/>
    </sheetView>
  </sheetViews>
  <sheetFormatPr defaultRowHeight="15" x14ac:dyDescent="0.25"/>
  <cols>
    <col min="1" max="1" width="16" customWidth="1"/>
    <col min="2" max="2" width="18" customWidth="1"/>
    <col min="3" max="3" width="16" customWidth="1"/>
    <col min="4" max="4" width="13" customWidth="1"/>
    <col min="5" max="5" width="18" customWidth="1"/>
    <col min="6" max="6" width="20" customWidth="1"/>
    <col min="7" max="8" width="22" customWidth="1"/>
  </cols>
  <sheetData>
    <row r="1" spans="1:8" ht="18.75" x14ac:dyDescent="0.3">
      <c r="A1" s="15" t="s">
        <v>42</v>
      </c>
      <c r="B1" s="16"/>
      <c r="C1" s="16"/>
      <c r="D1" s="16"/>
      <c r="E1" s="16"/>
      <c r="F1" s="16"/>
      <c r="G1" s="16"/>
      <c r="H1" s="16"/>
    </row>
    <row r="2" spans="1:8" x14ac:dyDescent="0.25">
      <c r="A2" s="5" t="s">
        <v>43</v>
      </c>
    </row>
    <row r="3" spans="1:8" x14ac:dyDescent="0.25">
      <c r="A3" s="1" t="s">
        <v>44</v>
      </c>
      <c r="B3" s="1" t="s">
        <v>45</v>
      </c>
      <c r="C3" s="1" t="s">
        <v>46</v>
      </c>
      <c r="D3" s="1" t="s">
        <v>26</v>
      </c>
      <c r="E3" s="1" t="s">
        <v>47</v>
      </c>
      <c r="F3" s="1" t="s">
        <v>48</v>
      </c>
      <c r="G3" s="1" t="s">
        <v>49</v>
      </c>
      <c r="H3" s="1" t="s">
        <v>50</v>
      </c>
    </row>
    <row r="4" spans="1:8" x14ac:dyDescent="0.25">
      <c r="A4" s="8">
        <f>Assumptions!$B$4*Assumptions!$B$6+2*(Assumptions!$B$4*(1-Assumptions!$B$6)/1000000000)^2*D4*1000000000</f>
        <v>200.19208</v>
      </c>
      <c r="B4" s="8">
        <f>1000000000/A4</f>
        <v>4995202.6074158382</v>
      </c>
      <c r="C4" s="8">
        <f>B4/Assumptions!$B$7</f>
        <v>570.22860815249294</v>
      </c>
      <c r="D4" s="9">
        <f>'4.4 Calculation'!A4</f>
        <v>1</v>
      </c>
      <c r="E4" s="10">
        <f>1-F4</f>
        <v>0.99999979980791998</v>
      </c>
      <c r="F4" s="11">
        <f>A4/1000000000*D4</f>
        <v>2.0019208E-7</v>
      </c>
      <c r="G4" s="12">
        <f>F4*Assumptions!$B$8</f>
        <v>0.105220957248</v>
      </c>
      <c r="H4" s="12">
        <f>G4*Assumptions!$B$9</f>
        <v>6.3132574348799997</v>
      </c>
    </row>
    <row r="5" spans="1:8" x14ac:dyDescent="0.25">
      <c r="A5" s="8">
        <f>Assumptions!$B$4*Assumptions!$B$6+2*(Assumptions!$B$4*(1-Assumptions!$B$6)/1000000000)^2*D5*1000000000</f>
        <v>200.76831999999999</v>
      </c>
      <c r="B5" s="8">
        <f>1000000000/A5</f>
        <v>4980865.5070680473</v>
      </c>
      <c r="C5" s="8">
        <f>B5/Assumptions!$B$7</f>
        <v>568.59195286164925</v>
      </c>
      <c r="D5" s="9">
        <f>'4.4 Calculation'!A5</f>
        <v>4</v>
      </c>
      <c r="E5" s="10">
        <f>1-F5</f>
        <v>0.99999919692672001</v>
      </c>
      <c r="F5" s="11">
        <f>A5/1000000000*D5</f>
        <v>8.0307327999999994E-7</v>
      </c>
      <c r="G5" s="12">
        <f>F5*Assumptions!$B$8</f>
        <v>0.42209531596799998</v>
      </c>
      <c r="H5" s="12">
        <f>G5*Assumptions!$B$9</f>
        <v>25.32571895808</v>
      </c>
    </row>
    <row r="6" spans="1:8" x14ac:dyDescent="0.25">
      <c r="A6" s="8">
        <f>Assumptions!$B$4*Assumptions!$B$6+2*(Assumptions!$B$4*(1-Assumptions!$B$6)/1000000000)^2*D6*1000000000</f>
        <v>201.53664000000001</v>
      </c>
      <c r="B6" s="8">
        <f>1000000000/A6</f>
        <v>4961876.9073454831</v>
      </c>
      <c r="C6" s="8">
        <f>B6/Assumptions!$B$7</f>
        <v>566.42430449149356</v>
      </c>
      <c r="D6" s="9">
        <f>'4.4 Calculation'!A6</f>
        <v>8</v>
      </c>
      <c r="E6" s="10">
        <f>1-F6</f>
        <v>0.99999838770687999</v>
      </c>
      <c r="F6" s="11">
        <f>A6/1000000000*D6</f>
        <v>1.61229312E-6</v>
      </c>
      <c r="G6" s="12">
        <f>F6*Assumptions!$B$8</f>
        <v>0.84742126387200001</v>
      </c>
      <c r="H6" s="12">
        <f>G6*Assumptions!$B$9</f>
        <v>50.845275832319999</v>
      </c>
    </row>
    <row r="7" spans="1:8" x14ac:dyDescent="0.25">
      <c r="A7" s="8">
        <f>Assumptions!$B$4*Assumptions!$B$6+2*(Assumptions!$B$4*(1-Assumptions!$B$6)/1000000000)^2*D7*1000000000</f>
        <v>202.30495999999999</v>
      </c>
      <c r="B7" s="8">
        <f>1000000000/A7</f>
        <v>4943032.538599153</v>
      </c>
      <c r="C7" s="8">
        <f>B7/Assumptions!$B$7</f>
        <v>564.27312084465223</v>
      </c>
      <c r="D7" s="9">
        <f>'4.4 Calculation'!A7</f>
        <v>12</v>
      </c>
      <c r="E7" s="10">
        <f>1-F7</f>
        <v>0.99999757234048003</v>
      </c>
      <c r="F7" s="11">
        <f>A7/1000000000*D7</f>
        <v>2.4276595200000002E-6</v>
      </c>
      <c r="G7" s="12">
        <f>F7*Assumptions!$B$8</f>
        <v>1.2759778437120002</v>
      </c>
      <c r="H7" s="12">
        <f>G7*Assumptions!$B$9</f>
        <v>76.558670622720015</v>
      </c>
    </row>
    <row r="8" spans="1:8" x14ac:dyDescent="0.25">
      <c r="A8" s="8">
        <f>Assumptions!$B$4*Assumptions!$B$6+2*(Assumptions!$B$4*(1-Assumptions!$B$6)/1000000000)^2*D8*1000000000</f>
        <v>204.60991999999999</v>
      </c>
      <c r="B8" s="8">
        <f>1000000000/A8</f>
        <v>4887348.5703918952</v>
      </c>
      <c r="C8" s="8">
        <f>B8/Assumptions!$B$7</f>
        <v>557.91650346939446</v>
      </c>
      <c r="D8" s="9">
        <f>'4.4 Calculation'!A8</f>
        <v>24</v>
      </c>
      <c r="E8" s="10">
        <f>1-F8</f>
        <v>0.99999508936192005</v>
      </c>
      <c r="F8" s="11">
        <f>A8/1000000000*D8</f>
        <v>4.9106380799999993E-6</v>
      </c>
      <c r="G8" s="12">
        <f>F8*Assumptions!$B$8</f>
        <v>2.5810313748479996</v>
      </c>
      <c r="H8" s="12">
        <f>G8*Assumptions!$B$9</f>
        <v>154.86188249087996</v>
      </c>
    </row>
    <row r="11" spans="1:8" x14ac:dyDescent="0.25">
      <c r="A11" s="5" t="s">
        <v>51</v>
      </c>
    </row>
    <row r="12" spans="1:8" x14ac:dyDescent="0.25">
      <c r="A12" s="1" t="s">
        <v>44</v>
      </c>
      <c r="B12" s="1" t="s">
        <v>45</v>
      </c>
      <c r="C12" s="1" t="s">
        <v>46</v>
      </c>
      <c r="D12" s="1" t="s">
        <v>26</v>
      </c>
      <c r="E12" s="1" t="s">
        <v>47</v>
      </c>
      <c r="F12" s="1" t="s">
        <v>48</v>
      </c>
      <c r="G12" s="1" t="s">
        <v>49</v>
      </c>
      <c r="H12" s="1" t="s">
        <v>50</v>
      </c>
    </row>
    <row r="13" spans="1:8" x14ac:dyDescent="0.25">
      <c r="A13" s="8">
        <f>2*(Assumptions!$B$4/1000000000)^2*D13*1000000000</f>
        <v>0.20000000000000004</v>
      </c>
      <c r="B13" s="8">
        <f>1000000000/A13</f>
        <v>4999999999.999999</v>
      </c>
      <c r="C13" s="8">
        <f>B13/Assumptions!$B$7</f>
        <v>570776.25570776244</v>
      </c>
      <c r="D13" s="9">
        <f>'4.4 Calculation'!A4</f>
        <v>1</v>
      </c>
      <c r="E13" s="10">
        <f>1-F13</f>
        <v>0.99999999979999998</v>
      </c>
      <c r="F13" s="11">
        <f>A13/1000000000*D13</f>
        <v>2.0000000000000003E-10</v>
      </c>
      <c r="G13" s="12">
        <f>F13*Assumptions!$B$8</f>
        <v>1.0512000000000002E-4</v>
      </c>
      <c r="H13" s="12">
        <f>G13*Assumptions!$B$9</f>
        <v>6.3072000000000015E-3</v>
      </c>
    </row>
    <row r="14" spans="1:8" x14ac:dyDescent="0.25">
      <c r="A14" s="8">
        <f>2*(Assumptions!$B$4/1000000000)^2*D14*1000000000</f>
        <v>0.80000000000000016</v>
      </c>
      <c r="B14" s="8">
        <f>1000000000/A14</f>
        <v>1249999999.9999998</v>
      </c>
      <c r="C14" s="8">
        <f>B14/Assumptions!$B$7</f>
        <v>142694.06392694061</v>
      </c>
      <c r="D14" s="9">
        <f>'4.4 Calculation'!A5</f>
        <v>4</v>
      </c>
      <c r="E14" s="10">
        <f>1-F14</f>
        <v>0.99999999679999996</v>
      </c>
      <c r="F14" s="11">
        <f>A14/1000000000*D14</f>
        <v>3.2000000000000005E-9</v>
      </c>
      <c r="G14" s="12">
        <f>F14*Assumptions!$B$8</f>
        <v>1.6819200000000004E-3</v>
      </c>
      <c r="H14" s="12">
        <f>G14*Assumptions!$B$9</f>
        <v>0.10091520000000002</v>
      </c>
    </row>
    <row r="15" spans="1:8" x14ac:dyDescent="0.25">
      <c r="A15" s="8">
        <f>2*(Assumptions!$B$4/1000000000)^2*D15*1000000000</f>
        <v>1.6000000000000003</v>
      </c>
      <c r="B15" s="8">
        <f>1000000000/A15</f>
        <v>624999999.99999988</v>
      </c>
      <c r="C15" s="8">
        <f>B15/Assumptions!$B$7</f>
        <v>71347.031963470305</v>
      </c>
      <c r="D15" s="9">
        <f>'4.4 Calculation'!A6</f>
        <v>8</v>
      </c>
      <c r="E15" s="10">
        <f>1-F15</f>
        <v>0.99999998720000005</v>
      </c>
      <c r="F15" s="11">
        <f>A15/1000000000*D15</f>
        <v>1.2800000000000002E-8</v>
      </c>
      <c r="G15" s="12">
        <f>F15*Assumptions!$B$8</f>
        <v>6.7276800000000015E-3</v>
      </c>
      <c r="H15" s="12">
        <f>G15*Assumptions!$B$9</f>
        <v>0.4036608000000001</v>
      </c>
    </row>
    <row r="16" spans="1:8" x14ac:dyDescent="0.25">
      <c r="A16" s="8">
        <f>2*(Assumptions!$B$4/1000000000)^2*D16*1000000000</f>
        <v>2.4000000000000004</v>
      </c>
      <c r="B16" s="8">
        <f>1000000000/A16</f>
        <v>416666666.66666663</v>
      </c>
      <c r="C16" s="8">
        <f>B16/Assumptions!$B$7</f>
        <v>47564.687975646877</v>
      </c>
      <c r="D16" s="9">
        <f>'4.4 Calculation'!A7</f>
        <v>12</v>
      </c>
      <c r="E16" s="10">
        <f>1-F16</f>
        <v>0.99999997119999995</v>
      </c>
      <c r="F16" s="11">
        <f>A16/1000000000*D16</f>
        <v>2.8800000000000006E-8</v>
      </c>
      <c r="G16" s="12">
        <f>F16*Assumptions!$B$8</f>
        <v>1.5137280000000003E-2</v>
      </c>
      <c r="H16" s="12">
        <f>G16*Assumptions!$B$9</f>
        <v>0.90823680000000018</v>
      </c>
    </row>
    <row r="17" spans="1:8" x14ac:dyDescent="0.25">
      <c r="A17" s="8">
        <f>2*(Assumptions!$B$4/1000000000)^2*D17*1000000000</f>
        <v>4.8000000000000007</v>
      </c>
      <c r="B17" s="8">
        <f>1000000000/A17</f>
        <v>208333333.33333331</v>
      </c>
      <c r="C17" s="8">
        <f>B17/Assumptions!$B$7</f>
        <v>23782.343987823439</v>
      </c>
      <c r="D17" s="9">
        <f>'4.4 Calculation'!A8</f>
        <v>24</v>
      </c>
      <c r="E17" s="10">
        <f>1-F17</f>
        <v>0.99999988480000002</v>
      </c>
      <c r="F17" s="11">
        <f>A17/1000000000*D17</f>
        <v>1.1520000000000003E-7</v>
      </c>
      <c r="G17" s="12">
        <f>F17*Assumptions!$B$8</f>
        <v>6.0549120000000012E-2</v>
      </c>
      <c r="H17" s="12">
        <f>G17*Assumptions!$B$9</f>
        <v>3.6329472000000007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28" customWidth="1"/>
    <col min="3" max="3" width="46" customWidth="1"/>
    <col min="4" max="4" width="22" customWidth="1"/>
  </cols>
  <sheetData>
    <row r="1" spans="1:4" ht="18.75" x14ac:dyDescent="0.3">
      <c r="A1" s="15" t="s">
        <v>52</v>
      </c>
      <c r="B1" s="16"/>
      <c r="C1" s="16"/>
      <c r="D1" s="16"/>
    </row>
    <row r="3" spans="1:4" x14ac:dyDescent="0.25">
      <c r="A3" s="1" t="s">
        <v>53</v>
      </c>
      <c r="B3" s="1" t="s">
        <v>54</v>
      </c>
      <c r="C3" s="1" t="s">
        <v>55</v>
      </c>
      <c r="D3" s="1" t="s">
        <v>56</v>
      </c>
    </row>
    <row r="4" spans="1:4" x14ac:dyDescent="0.25">
      <c r="A4" s="13" t="s">
        <v>57</v>
      </c>
      <c r="B4" s="13" t="s">
        <v>58</v>
      </c>
      <c r="C4" s="11">
        <f>'4.4 Calculation'!A6</f>
        <v>8</v>
      </c>
      <c r="D4" s="13" t="s">
        <v>59</v>
      </c>
    </row>
    <row r="5" spans="1:4" x14ac:dyDescent="0.25">
      <c r="A5" s="13" t="s">
        <v>60</v>
      </c>
      <c r="B5" s="13" t="s">
        <v>61</v>
      </c>
      <c r="C5" s="11">
        <f>Assumptions!B4*Assumptions!B6</f>
        <v>200</v>
      </c>
      <c r="D5" s="13" t="s">
        <v>62</v>
      </c>
    </row>
    <row r="6" spans="1:4" x14ac:dyDescent="0.25">
      <c r="A6" s="13" t="s">
        <v>60</v>
      </c>
      <c r="B6" s="13" t="s">
        <v>63</v>
      </c>
      <c r="C6" s="11">
        <f>Assumptions!B4*(1-Assumptions!B6)</f>
        <v>9800</v>
      </c>
      <c r="D6" s="13" t="s">
        <v>64</v>
      </c>
    </row>
    <row r="7" spans="1:4" x14ac:dyDescent="0.25">
      <c r="A7" s="13" t="s">
        <v>60</v>
      </c>
      <c r="B7" s="13" t="s">
        <v>29</v>
      </c>
      <c r="C7" s="11">
        <f>C5/1000000000*C4</f>
        <v>1.5999999999999999E-6</v>
      </c>
      <c r="D7" s="13" t="s">
        <v>65</v>
      </c>
    </row>
    <row r="8" spans="1:4" x14ac:dyDescent="0.25">
      <c r="A8" s="13" t="s">
        <v>60</v>
      </c>
      <c r="B8" s="13" t="s">
        <v>30</v>
      </c>
      <c r="C8" s="11">
        <f>2*(C6/1000000000*C4)^2</f>
        <v>1.2293119999999998E-8</v>
      </c>
      <c r="D8" s="13" t="s">
        <v>66</v>
      </c>
    </row>
    <row r="9" spans="1:4" x14ac:dyDescent="0.25">
      <c r="A9" s="13" t="s">
        <v>60</v>
      </c>
      <c r="B9" s="13" t="s">
        <v>31</v>
      </c>
      <c r="C9" s="11">
        <f>C7+C8</f>
        <v>1.6122931199999998E-6</v>
      </c>
      <c r="D9" s="13" t="s">
        <v>67</v>
      </c>
    </row>
    <row r="10" spans="1:4" x14ac:dyDescent="0.25">
      <c r="A10" s="13" t="s">
        <v>68</v>
      </c>
      <c r="B10" s="13" t="s">
        <v>69</v>
      </c>
      <c r="C10" s="11">
        <f>Assumptions!B5/1000000000</f>
        <v>3.4999999999999999E-6</v>
      </c>
      <c r="D10" s="13" t="s">
        <v>70</v>
      </c>
    </row>
    <row r="11" spans="1:4" x14ac:dyDescent="0.25">
      <c r="A11" s="13" t="s">
        <v>68</v>
      </c>
      <c r="B11" s="13" t="s">
        <v>32</v>
      </c>
      <c r="C11" s="11">
        <f>C10*C4</f>
        <v>2.8E-5</v>
      </c>
      <c r="D11" s="13" t="s">
        <v>71</v>
      </c>
    </row>
    <row r="12" spans="1:4" x14ac:dyDescent="0.25">
      <c r="A12" s="13" t="s">
        <v>72</v>
      </c>
      <c r="B12" s="13" t="s">
        <v>33</v>
      </c>
      <c r="C12" s="11">
        <f>C9*C11</f>
        <v>4.5144207359999992E-11</v>
      </c>
      <c r="D12" s="13" t="s">
        <v>73</v>
      </c>
    </row>
    <row r="13" spans="1:4" x14ac:dyDescent="0.25">
      <c r="A13" s="13" t="s">
        <v>72</v>
      </c>
      <c r="B13" s="13" t="s">
        <v>74</v>
      </c>
      <c r="C13" s="11">
        <f>C12/C4</f>
        <v>5.6430259199999991E-12</v>
      </c>
      <c r="D13" s="13" t="s">
        <v>75</v>
      </c>
    </row>
    <row r="14" spans="1:4" x14ac:dyDescent="0.25">
      <c r="A14" s="13" t="s">
        <v>72</v>
      </c>
      <c r="B14" s="13" t="s">
        <v>76</v>
      </c>
      <c r="C14" s="11">
        <f>C13*1000000000</f>
        <v>5.6430259199999992E-3</v>
      </c>
      <c r="D14" s="13" t="s">
        <v>77</v>
      </c>
    </row>
    <row r="15" spans="1:4" x14ac:dyDescent="0.25">
      <c r="A15" s="13" t="s">
        <v>72</v>
      </c>
      <c r="B15" s="13" t="s">
        <v>78</v>
      </c>
      <c r="C15" s="11">
        <f>C12*Assumptions!B8*Assumptions!B9</f>
        <v>1.4236677233049598E-3</v>
      </c>
      <c r="D15" s="13" t="s">
        <v>79</v>
      </c>
    </row>
    <row r="16" spans="1:4" x14ac:dyDescent="0.25">
      <c r="A16" s="13"/>
      <c r="B16" s="13"/>
      <c r="C16" s="13"/>
      <c r="D16" s="13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20" customWidth="1"/>
    <col min="3" max="3" width="27" customWidth="1"/>
    <col min="4" max="4" width="20" customWidth="1"/>
    <col min="5" max="5" width="21" customWidth="1"/>
    <col min="6" max="9" width="20" customWidth="1"/>
  </cols>
  <sheetData>
    <row r="1" spans="1:9" ht="18.75" x14ac:dyDescent="0.3">
      <c r="A1" s="15" t="s">
        <v>80</v>
      </c>
      <c r="B1" s="16"/>
      <c r="C1" s="16"/>
      <c r="D1" s="16"/>
      <c r="E1" s="16"/>
      <c r="F1" s="16"/>
      <c r="G1" s="16"/>
      <c r="H1" s="16"/>
      <c r="I1" s="16"/>
    </row>
    <row r="3" spans="1:9" ht="30" x14ac:dyDescent="0.25">
      <c r="A3" s="1" t="s">
        <v>26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85</v>
      </c>
      <c r="G3" s="1" t="s">
        <v>86</v>
      </c>
      <c r="H3" s="1" t="s">
        <v>36</v>
      </c>
      <c r="I3" s="1" t="s">
        <v>37</v>
      </c>
    </row>
    <row r="4" spans="1:9" x14ac:dyDescent="0.25">
      <c r="A4" s="11">
        <f>'4.4 Calculation'!A4</f>
        <v>1</v>
      </c>
      <c r="B4" s="11">
        <f>'4.4 Calculation'!D4</f>
        <v>1.9999999999999999E-7</v>
      </c>
      <c r="C4" s="11">
        <f>'4.4 Calculation'!E4</f>
        <v>1.9207999999999997E-10</v>
      </c>
      <c r="D4" s="11">
        <f>'4.4 Calculation'!F4</f>
        <v>2.0019208E-7</v>
      </c>
      <c r="E4" s="11">
        <f>'4.4 Calculation'!G4</f>
        <v>3.4999999999999999E-6</v>
      </c>
      <c r="F4" s="11">
        <f>'4.4 Calculation'!H4</f>
        <v>7.0067227999999992E-13</v>
      </c>
      <c r="G4" s="11">
        <f>'4.4 Calculation'!J4</f>
        <v>7.0067227999999991E-4</v>
      </c>
      <c r="H4" s="11">
        <f>'4.4 Calculation'!K4</f>
        <v>3.6827335036799995E-7</v>
      </c>
      <c r="I4" s="11">
        <f>'4.4 Calculation'!L4</f>
        <v>2.2096401022079998E-5</v>
      </c>
    </row>
    <row r="5" spans="1:9" x14ac:dyDescent="0.25">
      <c r="A5" s="11">
        <f>'4.4 Calculation'!A5</f>
        <v>4</v>
      </c>
      <c r="B5" s="11">
        <f>'4.4 Calculation'!D5</f>
        <v>7.9999999999999996E-7</v>
      </c>
      <c r="C5" s="11">
        <f>'4.4 Calculation'!E5</f>
        <v>3.0732799999999995E-9</v>
      </c>
      <c r="D5" s="11">
        <f>'4.4 Calculation'!F5</f>
        <v>8.0307327999999994E-7</v>
      </c>
      <c r="E5" s="11">
        <f>'4.4 Calculation'!G5</f>
        <v>1.4E-5</v>
      </c>
      <c r="F5" s="11">
        <f>'4.4 Calculation'!H5</f>
        <v>1.1243025919999999E-11</v>
      </c>
      <c r="G5" s="11">
        <f>'4.4 Calculation'!J5</f>
        <v>2.81075648E-3</v>
      </c>
      <c r="H5" s="11">
        <f>'4.4 Calculation'!K5</f>
        <v>5.9093344235519999E-6</v>
      </c>
      <c r="I5" s="11">
        <f>'4.4 Calculation'!L5</f>
        <v>3.5456006541311998E-4</v>
      </c>
    </row>
    <row r="6" spans="1:9" x14ac:dyDescent="0.25">
      <c r="A6" s="11">
        <f>'4.4 Calculation'!A6</f>
        <v>8</v>
      </c>
      <c r="B6" s="11">
        <f>'4.4 Calculation'!D6</f>
        <v>1.5999999999999999E-6</v>
      </c>
      <c r="C6" s="11">
        <f>'4.4 Calculation'!E6</f>
        <v>1.2293119999999998E-8</v>
      </c>
      <c r="D6" s="11">
        <f>'4.4 Calculation'!F6</f>
        <v>1.6122931199999998E-6</v>
      </c>
      <c r="E6" s="11">
        <f>'4.4 Calculation'!G6</f>
        <v>2.8E-5</v>
      </c>
      <c r="F6" s="11">
        <f>'4.4 Calculation'!H6</f>
        <v>4.5144207359999992E-11</v>
      </c>
      <c r="G6" s="11">
        <f>'4.4 Calculation'!J6</f>
        <v>5.6430259199999992E-3</v>
      </c>
      <c r="H6" s="11">
        <f>'4.4 Calculation'!K6</f>
        <v>2.3727795388415997E-5</v>
      </c>
      <c r="I6" s="11">
        <f>'4.4 Calculation'!L6</f>
        <v>1.4236677233049598E-3</v>
      </c>
    </row>
    <row r="7" spans="1:9" x14ac:dyDescent="0.25">
      <c r="A7" s="11">
        <f>'4.4 Calculation'!A7</f>
        <v>12</v>
      </c>
      <c r="B7" s="11">
        <f>'4.4 Calculation'!D7</f>
        <v>2.3999999999999999E-6</v>
      </c>
      <c r="C7" s="11">
        <f>'4.4 Calculation'!E7</f>
        <v>2.7659519999999993E-8</v>
      </c>
      <c r="D7" s="11">
        <f>'4.4 Calculation'!F7</f>
        <v>2.4276595199999998E-6</v>
      </c>
      <c r="E7" s="11">
        <f>'4.4 Calculation'!G7</f>
        <v>4.1999999999999998E-5</v>
      </c>
      <c r="F7" s="11">
        <f>'4.4 Calculation'!H7</f>
        <v>1.0196169983999998E-10</v>
      </c>
      <c r="G7" s="11">
        <f>'4.4 Calculation'!J7</f>
        <v>8.4968083199999985E-3</v>
      </c>
      <c r="H7" s="11">
        <f>'4.4 Calculation'!K7</f>
        <v>5.3591069435903989E-5</v>
      </c>
      <c r="I7" s="11">
        <f>'4.4 Calculation'!L7</f>
        <v>3.2154641661542391E-3</v>
      </c>
    </row>
    <row r="8" spans="1:9" x14ac:dyDescent="0.25">
      <c r="A8" s="11">
        <f>'4.4 Calculation'!A8</f>
        <v>24</v>
      </c>
      <c r="B8" s="11">
        <f>'4.4 Calculation'!D8</f>
        <v>4.7999999999999998E-6</v>
      </c>
      <c r="C8" s="11">
        <f>'4.4 Calculation'!E8</f>
        <v>1.1063807999999997E-7</v>
      </c>
      <c r="D8" s="11">
        <f>'4.4 Calculation'!F8</f>
        <v>4.9106380800000001E-6</v>
      </c>
      <c r="E8" s="11">
        <f>'4.4 Calculation'!G8</f>
        <v>8.3999999999999995E-5</v>
      </c>
      <c r="F8" s="11">
        <f>'4.4 Calculation'!H8</f>
        <v>4.1249359871999999E-10</v>
      </c>
      <c r="G8" s="11">
        <f>'4.4 Calculation'!J8</f>
        <v>1.7187233280000002E-2</v>
      </c>
      <c r="H8" s="11">
        <f>'4.4 Calculation'!K8</f>
        <v>2.1680663548723198E-4</v>
      </c>
      <c r="I8" s="11">
        <f>'4.4 Calculation'!L8</f>
        <v>1.300839812923392E-2</v>
      </c>
    </row>
    <row r="10" spans="1:9" ht="195" x14ac:dyDescent="0.25">
      <c r="A10" s="14" t="s">
        <v>87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4" customWidth="1"/>
    <col min="2" max="2" width="52" customWidth="1"/>
    <col min="3" max="3" width="70" customWidth="1"/>
  </cols>
  <sheetData>
    <row r="1" spans="1:3" ht="18.75" x14ac:dyDescent="0.3">
      <c r="A1" s="15" t="s">
        <v>88</v>
      </c>
      <c r="B1" s="16"/>
      <c r="C1" s="16"/>
    </row>
    <row r="3" spans="1:3" x14ac:dyDescent="0.25">
      <c r="A3" s="1" t="s">
        <v>89</v>
      </c>
      <c r="B3" s="1" t="s">
        <v>90</v>
      </c>
      <c r="C3" s="1" t="s">
        <v>91</v>
      </c>
    </row>
    <row r="4" spans="1:3" x14ac:dyDescent="0.25">
      <c r="A4" s="13" t="s">
        <v>61</v>
      </c>
      <c r="B4" s="13" t="s">
        <v>92</v>
      </c>
      <c r="C4" s="13" t="s">
        <v>93</v>
      </c>
    </row>
    <row r="5" spans="1:3" x14ac:dyDescent="0.25">
      <c r="A5" s="13" t="s">
        <v>63</v>
      </c>
      <c r="B5" s="13" t="s">
        <v>94</v>
      </c>
      <c r="C5" s="13" t="s">
        <v>95</v>
      </c>
    </row>
    <row r="6" spans="1:3" x14ac:dyDescent="0.25">
      <c r="A6" s="13" t="s">
        <v>29</v>
      </c>
      <c r="B6" s="13" t="s">
        <v>96</v>
      </c>
      <c r="C6" s="13" t="s">
        <v>97</v>
      </c>
    </row>
    <row r="7" spans="1:3" x14ac:dyDescent="0.25">
      <c r="A7" s="13" t="s">
        <v>30</v>
      </c>
      <c r="B7" s="13" t="s">
        <v>98</v>
      </c>
      <c r="C7" s="13" t="s">
        <v>99</v>
      </c>
    </row>
    <row r="8" spans="1:3" x14ac:dyDescent="0.25">
      <c r="A8" s="13" t="s">
        <v>31</v>
      </c>
      <c r="B8" s="13" t="s">
        <v>100</v>
      </c>
      <c r="C8" s="13" t="s">
        <v>101</v>
      </c>
    </row>
    <row r="9" spans="1:3" x14ac:dyDescent="0.25">
      <c r="A9" s="13" t="s">
        <v>32</v>
      </c>
      <c r="B9" s="13" t="s">
        <v>102</v>
      </c>
      <c r="C9" s="13" t="s">
        <v>103</v>
      </c>
    </row>
    <row r="10" spans="1:3" x14ac:dyDescent="0.25">
      <c r="A10" s="13" t="s">
        <v>33</v>
      </c>
      <c r="B10" s="13" t="s">
        <v>104</v>
      </c>
      <c r="C10" s="13" t="s">
        <v>105</v>
      </c>
    </row>
    <row r="11" spans="1:3" x14ac:dyDescent="0.25">
      <c r="A11" s="13" t="s">
        <v>74</v>
      </c>
      <c r="B11" s="13" t="s">
        <v>106</v>
      </c>
      <c r="C11" s="13" t="s">
        <v>107</v>
      </c>
    </row>
    <row r="12" spans="1:3" x14ac:dyDescent="0.25">
      <c r="A12" s="13" t="s">
        <v>78</v>
      </c>
      <c r="B12" s="13" t="s">
        <v>108</v>
      </c>
      <c r="C12" s="13" t="s">
        <v>109</v>
      </c>
    </row>
  </sheetData>
  <mergeCells count="1">
    <mergeCell ref="A1:C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54277c9-dafe-44aa-85a4-73d5c7c52450}" enabled="0" method="" siteId="{f54277c9-dafe-44aa-85a4-73d5c7c524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4.4 Calculation</vt:lpstr>
      <vt:lpstr>4.4 Summary</vt:lpstr>
      <vt:lpstr>8h Trace</vt:lpstr>
      <vt:lpstr>All MTTR Trace</vt:lpstr>
      <vt:lpstr>Formula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MOSER Florian</cp:lastModifiedBy>
  <dcterms:created xsi:type="dcterms:W3CDTF">2026-09-30T12:52:09Z</dcterms:created>
  <dcterms:modified xsi:type="dcterms:W3CDTF">2026-09-30T20:58:14Z</dcterms:modified>
</cp:coreProperties>
</file>