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hitachigroupeur-my.sharepoint.com/personal/florian_moser_gts_hitachirail_com/Documents/DEV_Projects/DSTW/Split Brain/"/>
    </mc:Choice>
  </mc:AlternateContent>
  <xr:revisionPtr revIDLastSave="589" documentId="8_{EC906EF9-FE06-4E0D-B9B6-82DC75E3F042}" xr6:coauthVersionLast="47" xr6:coauthVersionMax="47" xr10:uidLastSave="{BF75655A-5612-499E-8855-8922A0C8DABE}"/>
  <bookViews>
    <workbookView xWindow="-120" yWindow="-120" windowWidth="29040" windowHeight="15720" firstSheet="1" activeTab="1" xr2:uid="{FC044E87-FB47-4E23-9807-DED96CF99A00}"/>
  </bookViews>
  <sheets>
    <sheet name="settings" sheetId="2" state="hidden" r:id="rId1"/>
    <sheet name="Split_Brain_09_2026" sheetId="1" r:id="rId2"/>
  </sheets>
  <externalReferences>
    <externalReference r:id="rId3"/>
  </externalReferences>
  <definedNames>
    <definedName name="Control_Plane">'[1]2.Failure Rates'!$E$9</definedName>
    <definedName name="Control_Slave">'[1]2.Failure Rates'!$E$12</definedName>
    <definedName name="Data_Slave">'[1]2.Failure Rates'!$E$14</definedName>
    <definedName name="Data_Storage">'[1]2.Failure Rates'!$E$11</definedName>
    <definedName name="hours_per_year" localSheetId="0">settings!$B$11</definedName>
    <definedName name="hours_per_year">[1]settings!$B$11</definedName>
    <definedName name="min_per_year" localSheetId="0">settings!$B$12</definedName>
    <definedName name="min_per_year">[1]settings!$B$12</definedName>
    <definedName name="MTTR">Split_Brain_09_2026!$G$16</definedName>
    <definedName name="MTTR_10min" localSheetId="0">settings!$B$6</definedName>
    <definedName name="MTTR_10min">[1]settings!$B$6</definedName>
    <definedName name="MTTR_15min" localSheetId="0">settings!$B$5</definedName>
    <definedName name="MTTR_15min">[1]settings!$B$5</definedName>
    <definedName name="MTTR_1h" localSheetId="0">settings!$B$2</definedName>
    <definedName name="MTTR_1h">[1]settings!$B$2</definedName>
    <definedName name="MTTR_1min" localSheetId="0">settings!$B$10</definedName>
    <definedName name="MTTR_1min">[1]settings!$B$10</definedName>
    <definedName name="MTTR_2min" localSheetId="0">settings!$B$9</definedName>
    <definedName name="MTTR_2min">[1]settings!$B$9</definedName>
    <definedName name="MTTR_3min" localSheetId="0">settings!$B$8</definedName>
    <definedName name="MTTR_3min">[1]settings!$B$8</definedName>
    <definedName name="MTTR_3sec" localSheetId="0">settings!$B$14</definedName>
    <definedName name="MTTR_3sec">[1]settings!$B$14</definedName>
    <definedName name="MTTR_4h" localSheetId="0">settings!$B$3</definedName>
    <definedName name="MTTR_5min" localSheetId="0">settings!$B$7</definedName>
    <definedName name="MTTR_5min">[1]settings!$B$7</definedName>
    <definedName name="MTTR_8h" localSheetId="0">settings!$B$4</definedName>
    <definedName name="MTTR_8h">[1]settings!$B$4</definedName>
    <definedName name="nano" localSheetId="0">settings!$B$1</definedName>
    <definedName name="nano">[1]settings!$B$1</definedName>
    <definedName name="Network">#REF!</definedName>
    <definedName name="proc" localSheetId="0">#REF!</definedName>
    <definedName name="proc">#REF!</definedName>
    <definedName name="secs_per_year" localSheetId="0">settings!$B$13</definedName>
    <definedName name="secs_per_year">[1]settings!$B$13</definedName>
    <definedName name="Server_Master">'[1]2.Failure Rates'!$E$10</definedName>
    <definedName name="Server_Slave">'[1]2.Failure Rates'!$E$13</definedName>
    <definedName name="Switch">'[1]2.Failure Rates'!$E$16</definedName>
    <definedName name="Switch_hot">'[1]2.Failure Rates'!$E$17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43" i="1" l="1"/>
  <c r="B51" i="1" s="1"/>
  <c r="B42" i="1"/>
  <c r="B48" i="1" s="1"/>
  <c r="B55" i="1" s="1"/>
  <c r="B104" i="1" l="1"/>
  <c r="B102" i="1"/>
  <c r="B100" i="1"/>
  <c r="B101" i="1"/>
  <c r="B103" i="1"/>
  <c r="B99" i="1"/>
  <c r="B64" i="1"/>
  <c r="B5" i="2"/>
  <c r="B6" i="2"/>
  <c r="B7" i="2"/>
  <c r="B9" i="2"/>
  <c r="B8" i="1"/>
  <c r="B16" i="1"/>
  <c r="B30" i="1" s="1"/>
  <c r="B17" i="1"/>
  <c r="C99" i="1" l="1"/>
  <c r="D99" i="1" s="1"/>
  <c r="C100" i="1"/>
  <c r="D100" i="1" s="1"/>
  <c r="C102" i="1"/>
  <c r="D102" i="1" s="1"/>
  <c r="C104" i="1"/>
  <c r="D104" i="1" s="1"/>
  <c r="C101" i="1"/>
  <c r="D101" i="1" s="1"/>
  <c r="C103" i="1"/>
  <c r="D103" i="1" s="1"/>
  <c r="B65" i="1"/>
  <c r="B80" i="1"/>
  <c r="C17" i="1"/>
  <c r="B20" i="1"/>
  <c r="B19" i="1"/>
  <c r="C64" i="1"/>
  <c r="C35" i="1"/>
  <c r="B35" i="1"/>
  <c r="C33" i="1"/>
  <c r="C34" i="1"/>
  <c r="C32" i="1"/>
  <c r="B34" i="1"/>
  <c r="B32" i="1"/>
  <c r="C31" i="1"/>
  <c r="B33" i="1"/>
  <c r="B31" i="1"/>
  <c r="C30" i="1"/>
  <c r="C16" i="1"/>
  <c r="E103" i="1" l="1"/>
  <c r="F103" i="1" s="1"/>
  <c r="G103" i="1"/>
  <c r="H103" i="1" s="1"/>
  <c r="E104" i="1"/>
  <c r="F104" i="1" s="1"/>
  <c r="G104" i="1"/>
  <c r="H104" i="1" s="1"/>
  <c r="E102" i="1"/>
  <c r="F102" i="1" s="1"/>
  <c r="G102" i="1"/>
  <c r="H102" i="1" s="1"/>
  <c r="G100" i="1"/>
  <c r="H100" i="1" s="1"/>
  <c r="E100" i="1"/>
  <c r="F100" i="1" s="1"/>
  <c r="G101" i="1"/>
  <c r="H101" i="1" s="1"/>
  <c r="E101" i="1"/>
  <c r="F101" i="1" s="1"/>
  <c r="E99" i="1"/>
  <c r="F99" i="1" s="1"/>
  <c r="G99" i="1"/>
  <c r="H99" i="1" s="1"/>
  <c r="D30" i="1"/>
  <c r="G30" i="1" s="1"/>
  <c r="H30" i="1" s="1"/>
  <c r="B49" i="1"/>
  <c r="B44" i="1"/>
  <c r="D35" i="1"/>
  <c r="G35" i="1" s="1"/>
  <c r="H35" i="1" s="1"/>
  <c r="D33" i="1"/>
  <c r="G33" i="1" s="1"/>
  <c r="H33" i="1" s="1"/>
  <c r="D32" i="1"/>
  <c r="E32" i="1" s="1"/>
  <c r="F32" i="1" s="1"/>
  <c r="D34" i="1"/>
  <c r="G34" i="1" s="1"/>
  <c r="H34" i="1" s="1"/>
  <c r="D31" i="1"/>
  <c r="C20" i="1"/>
  <c r="C19" i="1"/>
  <c r="B21" i="1"/>
  <c r="B22" i="1" s="1"/>
  <c r="E30" i="1" l="1"/>
  <c r="F30" i="1" s="1"/>
  <c r="B81" i="1"/>
  <c r="B84" i="1" s="1"/>
  <c r="B89" i="1"/>
  <c r="B58" i="1"/>
  <c r="B70" i="1" s="1"/>
  <c r="E35" i="1"/>
  <c r="F35" i="1" s="1"/>
  <c r="E34" i="1"/>
  <c r="F34" i="1" s="1"/>
  <c r="G32" i="1"/>
  <c r="H32" i="1" s="1"/>
  <c r="E33" i="1"/>
  <c r="F33" i="1" s="1"/>
  <c r="E31" i="1"/>
  <c r="F31" i="1" s="1"/>
  <c r="G31" i="1"/>
  <c r="H31" i="1" s="1"/>
  <c r="B26" i="1"/>
  <c r="C26" i="1" s="1"/>
  <c r="C21" i="1"/>
  <c r="B23" i="1"/>
  <c r="C23" i="1" s="1"/>
  <c r="B75" i="1" l="1"/>
  <c r="B76" i="1" s="1"/>
  <c r="B71" i="1"/>
  <c r="B72" i="1" s="1"/>
  <c r="B91" i="1"/>
  <c r="B93" i="1" s="1"/>
  <c r="B27" i="1"/>
  <c r="C27" i="1" s="1"/>
  <c r="B94" i="1" l="1"/>
  <c r="B14" i="2" l="1"/>
</calcChain>
</file>

<file path=xl/sharedStrings.xml><?xml version="1.0" encoding="utf-8"?>
<sst xmlns="http://schemas.openxmlformats.org/spreadsheetml/2006/main" count="106" uniqueCount="86">
  <si>
    <t>min/y</t>
  </si>
  <si>
    <t>MTTR</t>
  </si>
  <si>
    <t>λ_SR</t>
  </si>
  <si>
    <t>λ_CR</t>
  </si>
  <si>
    <t>Independent three-router failures only</t>
  </si>
  <si>
    <t>The topology includes two core routers in 1oo2 hot redundancy and one additional single router. The network is considered failed only when both core routers and the single router are unavailable at the same time.</t>
  </si>
  <si>
    <t>Conversion constant</t>
  </si>
  <si>
    <t>sec/min</t>
  </si>
  <si>
    <t>Seconds per minute</t>
  </si>
  <si>
    <t>min/year</t>
  </si>
  <si>
    <t>Minutes per year</t>
  </si>
  <si>
    <t>h/year</t>
  </si>
  <si>
    <t>Hours per year</t>
  </si>
  <si>
    <t>Fraction of each core-router rate assigned to CCF</t>
  </si>
  <si>
    <t>-</t>
  </si>
  <si>
    <t>CCF beta factor</t>
  </si>
  <si>
    <t>Failure rate for the single router</t>
  </si>
  <si>
    <t>FIT</t>
  </si>
  <si>
    <t>Single-router FIT</t>
  </si>
  <si>
    <t>Failure rate for each core router</t>
  </si>
  <si>
    <t>Core-router FIT</t>
  </si>
  <si>
    <t>Purpose</t>
  </si>
  <si>
    <t>Unit</t>
  </si>
  <si>
    <t>Value</t>
  </si>
  <si>
    <t>MTTR_3sec</t>
  </si>
  <si>
    <t>secs_per_year</t>
  </si>
  <si>
    <t>min_per_year</t>
  </si>
  <si>
    <t>hours_per_year</t>
  </si>
  <si>
    <t>MTTR_1min</t>
  </si>
  <si>
    <t>MTTR_2min</t>
  </si>
  <si>
    <t>MTTR_3min</t>
  </si>
  <si>
    <t>MTTR_5min</t>
  </si>
  <si>
    <t>MTTR_10min</t>
  </si>
  <si>
    <t>MTTR_15min</t>
  </si>
  <si>
    <t>MTTR_8h</t>
  </si>
  <si>
    <t>MTTR_4h</t>
  </si>
  <si>
    <t>MTTR_1h</t>
  </si>
  <si>
    <t>nano</t>
  </si>
  <si>
    <t>Core-router 1oo2 unavailability:</t>
  </si>
  <si>
    <t>Single-router unavailability:</t>
  </si>
  <si>
    <t>Combined three-router unavailability:</t>
  </si>
  <si>
    <t>Converting to FIT:</t>
  </si>
  <si>
    <t>Combined failure rate:</t>
  </si>
  <si>
    <t>Downtime:</t>
  </si>
  <si>
    <t>sec/y</t>
  </si>
  <si>
    <t>MTTR (h)</t>
  </si>
  <si>
    <t>Combined failure rate (FIT)</t>
  </si>
  <si>
    <t>Downtime (min/y)</t>
  </si>
  <si>
    <t>Downtime (sec/y)</t>
  </si>
  <si>
    <t>Including CCF of the two core routers with beta = 0.02</t>
  </si>
  <si>
    <t>λ_CFF</t>
  </si>
  <si>
    <t>FiT_CFF</t>
  </si>
  <si>
    <t>The remaining independent failure rate for each core router is:</t>
  </si>
  <si>
    <t>λ_CR,ind​=(1−β)*λ_CR</t>
  </si>
  <si>
    <t>β</t>
  </si>
  <si>
    <t>FiT_CR,ind</t>
  </si>
  <si>
    <t>Unavailability CCF Core Router</t>
  </si>
  <si>
    <t>U_CR,CCF ≈ λ _CCF*MTTR</t>
  </si>
  <si>
    <t>For independent failures in the hot-redundant 1oo2 pair, either core router can fail first, giving the factor 2:</t>
  </si>
  <si>
    <t>U _CR,ind  ≈ 2(λ _CR,ind*MTTR)^2</t>
  </si>
  <si>
    <t xml:space="preserve">U _CR,ind </t>
  </si>
  <si>
    <t>Therefore, the total core-router-pair unavailability is: U _CR  = U_CR,CCF  +U_CR,ind</t>
  </si>
  <si>
    <t>U _CR</t>
  </si>
  <si>
    <t>U_SR</t>
  </si>
  <si>
    <t>simultaneous overlap and combined failure rate</t>
  </si>
  <si>
    <t>network failure requires the core-router pair and the single router to be unavailable at the same time.</t>
  </si>
  <si>
    <t>U _triple,CCF  =U_CR* U_SR</t>
  </si>
  <si>
    <t>U _triple,CCF</t>
  </si>
  <si>
    <t>λ_triple,CCF</t>
  </si>
  <si>
    <t>FiT_triple,CCF</t>
  </si>
  <si>
    <t>The corresponding annual exposure is:</t>
  </si>
  <si>
    <t>combined network-failure condition has two alternative paths. In both paths, the single router must be unavailable, so the single-router unavailability  is a common multiplier.</t>
  </si>
  <si>
    <t>CCF path</t>
  </si>
  <si>
    <t>U _CCF path =U_CR,CCF* U_SR</t>
  </si>
  <si>
    <t>Independent path</t>
  </si>
  <si>
    <t>U_ind,path = U_CR,ind*U_SR</t>
  </si>
  <si>
    <t>U_total</t>
  </si>
  <si>
    <t>CCF share</t>
  </si>
  <si>
    <t>Independent_share</t>
  </si>
  <si>
    <t>dimensionless unavailability probability of the single router during the MTTR interval.</t>
  </si>
  <si>
    <t>SR: single-router failure (non-redundant)</t>
  </si>
  <si>
    <t>U _CR,ind  + U_CR,CCF</t>
  </si>
  <si>
    <t>The CCF makes both core routers unavailable +the single router is also unavailable</t>
  </si>
  <si>
    <t>Two independent core-router failures overlap within the MTTR +  the single router also fails</t>
  </si>
  <si>
    <t>Core-router 1oo2 unavailability (including CFF)</t>
  </si>
  <si>
    <t>The CCF remains the dominant contributor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</si>
</sst>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0.0000000000000"/>
    <numFmt numFmtId="165" formatCode="0.000E+00"/>
    <numFmt numFmtId="166" formatCode="0.00000000E+00"/>
    <numFmt numFmtId="167" formatCode="#,##0.0000000000000000"/>
    <numFmt numFmtId="168" formatCode="0.0000000"/>
    <numFmt numFmtId="169" formatCode="0.0E+00"/>
    <numFmt numFmtId="171" formatCode="0.000000000000"/>
    <numFmt numFmtId="180" formatCode="0.000000"/>
    <numFmt numFmtId="183" formatCode="0.0000000000"/>
    <numFmt numFmtId="185" formatCode="0.000000%"/>
    <numFmt numFmtId="188" formatCode="0.000%"/>
    <numFmt numFmtId="194" formatCode="0.000000000000%"/>
    <numFmt numFmtId="198" formatCode="0.000000000000000"/>
    <numFmt numFmtId="199" formatCode="0.0000000000000000"/>
    <numFmt numFmtId="201" formatCode="0.00000E+00"/>
    <numFmt numFmtId="202" formatCode="#,##0.0000"/>
    <numFmt numFmtId="203" formatCode="#,##0.00000"/>
    <numFmt numFmtId="205" formatCode="#,##0.0000000"/>
    <numFmt numFmtId="213" formatCode="#,##0.000000000000000"/>
  </numFmts>
  <fonts count="7" x14ac:knownFonts="1">
    <font>
      <sz val="10"/>
      <name val="Arial"/>
      <family val="2"/>
    </font>
    <font>
      <sz val="11"/>
      <color rgb="FF9C5700"/>
      <name val="Calibri"/>
      <family val="2"/>
      <scheme val="minor"/>
    </font>
    <font>
      <sz val="10"/>
      <name val="Arial"/>
      <family val="2"/>
    </font>
    <font>
      <b/>
      <sz val="10"/>
      <name val="Arial"/>
      <family val="2"/>
    </font>
    <font>
      <b/>
      <sz val="11"/>
      <color rgb="FFFFFFFF"/>
      <name val="Calibri"/>
      <family val="2"/>
    </font>
    <font>
      <sz val="11"/>
      <color rgb="FF657B83"/>
      <name val="Segoe UI"/>
      <family val="2"/>
    </font>
    <font>
      <b/>
      <sz val="14"/>
      <color rgb="FF9C5700"/>
      <name val="Calibri"/>
      <family val="2"/>
      <scheme val="minor"/>
    </font>
  </fonts>
  <fills count="7">
    <fill>
      <patternFill patternType="none"/>
    </fill>
    <fill>
      <patternFill patternType="gray125"/>
    </fill>
    <fill>
      <patternFill patternType="solid">
        <fgColor rgb="FFFFEB9C"/>
      </patternFill>
    </fill>
    <fill>
      <patternFill patternType="solid">
        <fgColor rgb="FFD9EAF7"/>
      </patternFill>
    </fill>
    <fill>
      <patternFill patternType="solid">
        <fgColor rgb="FFE7E6E6"/>
      </patternFill>
    </fill>
    <fill>
      <patternFill patternType="solid">
        <fgColor rgb="FF1F4E78"/>
      </patternFill>
    </fill>
    <fill>
      <patternFill patternType="solid">
        <fgColor rgb="FF92D050"/>
        <bgColor indexed="64"/>
      </patternFill>
    </fill>
  </fills>
  <borders count="1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rgb="FFB7B7B7"/>
      </bottom>
      <diagonal/>
    </border>
    <border>
      <left/>
      <right/>
      <top style="thin">
        <color indexed="64"/>
      </top>
      <bottom style="thin">
        <color rgb="FFB7B7B7"/>
      </bottom>
      <diagonal/>
    </border>
  </borders>
  <cellStyleXfs count="3">
    <xf numFmtId="0" fontId="0" fillId="0" borderId="0"/>
    <xf numFmtId="0" fontId="1" fillId="2" borderId="0" applyNumberFormat="0" applyBorder="0" applyAlignment="0" applyProtection="0"/>
    <xf numFmtId="0" fontId="2" fillId="0" borderId="0"/>
  </cellStyleXfs>
  <cellXfs count="68">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0" fontId="2" fillId="0" borderId="0" xfId="0" applyFont="1"/>
    <xf numFmtId="1" fontId="0" fillId="0" borderId="0" xfId="0" applyNumberFormat="1"/>
    <xf numFmtId="0" fontId="2" fillId="0" borderId="0" xfId="2"/>
    <xf numFmtId="11" fontId="2" fillId="0" borderId="0" xfId="2" applyNumberFormat="1"/>
    <xf numFmtId="0" fontId="0" fillId="0" borderId="0" xfId="0" applyAlignment="1">
      <alignment wrapText="1"/>
    </xf>
    <xf numFmtId="2" fontId="0" fillId="0" borderId="0" xfId="0" applyNumberFormat="1"/>
    <xf numFmtId="180" fontId="0" fillId="0" borderId="0" xfId="0" applyNumberFormat="1"/>
    <xf numFmtId="171" fontId="0" fillId="0" borderId="0" xfId="0" applyNumberFormat="1"/>
    <xf numFmtId="0" fontId="5" fillId="0" borderId="0" xfId="0" applyFont="1" applyAlignment="1">
      <alignment horizontal="center" vertical="center" wrapText="1"/>
    </xf>
    <xf numFmtId="0" fontId="0" fillId="0" borderId="0" xfId="0" applyFont="1"/>
    <xf numFmtId="0" fontId="0" fillId="0" borderId="4" xfId="0" applyBorder="1"/>
    <xf numFmtId="169" fontId="0" fillId="0" borderId="0" xfId="0" applyNumberFormat="1" applyBorder="1"/>
    <xf numFmtId="168" fontId="0" fillId="0" borderId="0" xfId="0" applyNumberFormat="1" applyBorder="1"/>
    <xf numFmtId="171" fontId="0" fillId="0" borderId="0" xfId="0" applyNumberFormat="1" applyBorder="1"/>
    <xf numFmtId="183" fontId="0" fillId="0" borderId="5" xfId="0" applyNumberFormat="1" applyBorder="1"/>
    <xf numFmtId="0" fontId="0" fillId="0" borderId="6" xfId="0" applyBorder="1"/>
    <xf numFmtId="169" fontId="0" fillId="0" borderId="7" xfId="0" applyNumberFormat="1" applyBorder="1"/>
    <xf numFmtId="168" fontId="0" fillId="0" borderId="7" xfId="0" applyNumberFormat="1" applyBorder="1"/>
    <xf numFmtId="171" fontId="0" fillId="0" borderId="7" xfId="0" applyNumberFormat="1" applyBorder="1"/>
    <xf numFmtId="183" fontId="0" fillId="0" borderId="8" xfId="0" applyNumberFormat="1" applyBorder="1"/>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0" fillId="0" borderId="7" xfId="0" applyBorder="1"/>
    <xf numFmtId="201" fontId="0" fillId="0" borderId="0" xfId="0" applyNumberFormat="1"/>
    <xf numFmtId="202" fontId="0" fillId="0" borderId="0" xfId="0" applyNumberFormat="1"/>
    <xf numFmtId="205" fontId="0" fillId="0" borderId="0" xfId="0" applyNumberFormat="1"/>
    <xf numFmtId="203" fontId="3" fillId="6" borderId="0" xfId="0" applyNumberFormat="1" applyFont="1" applyFill="1"/>
    <xf numFmtId="213" fontId="0" fillId="0" borderId="0" xfId="0" applyNumberFormat="1"/>
    <xf numFmtId="213" fontId="0" fillId="6" borderId="0" xfId="0" applyNumberFormat="1" applyFill="1"/>
    <xf numFmtId="199" fontId="0" fillId="6" borderId="0" xfId="0" applyNumberFormat="1" applyFill="1"/>
    <xf numFmtId="198" fontId="0" fillId="6" borderId="0" xfId="0" applyNumberFormat="1" applyFill="1"/>
    <xf numFmtId="0" fontId="0" fillId="0" borderId="12" xfId="0" applyBorder="1"/>
    <xf numFmtId="10" fontId="0" fillId="0" borderId="13" xfId="0" applyNumberFormat="1" applyBorder="1"/>
    <xf numFmtId="0" fontId="0" fillId="0" borderId="14" xfId="0" applyBorder="1"/>
    <xf numFmtId="10" fontId="0" fillId="0" borderId="15" xfId="0" applyNumberFormat="1" applyBorder="1"/>
    <xf numFmtId="0" fontId="0" fillId="6" borderId="0" xfId="0" applyFill="1"/>
    <xf numFmtId="0" fontId="3" fillId="0" borderId="1" xfId="0" applyFont="1" applyBorder="1"/>
    <xf numFmtId="0" fontId="0" fillId="0" borderId="2" xfId="0" applyBorder="1"/>
    <xf numFmtId="0" fontId="0" fillId="0" borderId="3" xfId="0" applyBorder="1"/>
    <xf numFmtId="0" fontId="0" fillId="0" borderId="0" xfId="0" applyBorder="1"/>
    <xf numFmtId="0" fontId="2" fillId="0" borderId="0" xfId="0" applyFont="1" applyBorder="1"/>
    <xf numFmtId="0" fontId="0" fillId="0" borderId="5" xfId="0" applyBorder="1"/>
    <xf numFmtId="1" fontId="0" fillId="0" borderId="0" xfId="0" applyNumberFormat="1" applyBorder="1"/>
    <xf numFmtId="0" fontId="2" fillId="0" borderId="4" xfId="0" applyFont="1" applyBorder="1"/>
    <xf numFmtId="169" fontId="0" fillId="0" borderId="0" xfId="0" applyNumberFormat="1" applyBorder="1" applyAlignment="1">
      <alignment wrapText="1"/>
    </xf>
    <xf numFmtId="185" fontId="0" fillId="0" borderId="0" xfId="0" applyNumberFormat="1" applyBorder="1"/>
    <xf numFmtId="188" fontId="0" fillId="0" borderId="0" xfId="0" applyNumberFormat="1" applyBorder="1"/>
    <xf numFmtId="194" fontId="0" fillId="0" borderId="0" xfId="0" applyNumberFormat="1" applyBorder="1"/>
    <xf numFmtId="183" fontId="3" fillId="0" borderId="7" xfId="0" applyNumberFormat="1" applyFont="1" applyBorder="1"/>
    <xf numFmtId="0" fontId="0" fillId="0" borderId="8" xfId="0" applyBorder="1"/>
    <xf numFmtId="0" fontId="0" fillId="0" borderId="9" xfId="0" applyFont="1" applyBorder="1" applyAlignment="1">
      <alignment horizontal="center" vertical="center" wrapText="1"/>
    </xf>
    <xf numFmtId="0" fontId="0" fillId="0" borderId="10" xfId="0" applyFont="1" applyBorder="1" applyAlignment="1">
      <alignment horizontal="center" vertical="center" wrapText="1"/>
    </xf>
    <xf numFmtId="0" fontId="0" fillId="0" borderId="11" xfId="0" applyFont="1" applyBorder="1" applyAlignment="1">
      <alignment horizontal="center" vertical="center" wrapText="1"/>
    </xf>
    <xf numFmtId="0" fontId="3" fillId="0" borderId="0" xfId="0" applyFont="1" applyBorder="1"/>
    <xf numFmtId="0" fontId="4" fillId="5" borderId="16" xfId="0" applyFont="1" applyFill="1" applyBorder="1" applyAlignment="1">
      <alignment horizontal="center" wrapText="1"/>
    </xf>
    <xf numFmtId="0" fontId="4" fillId="5" borderId="17" xfId="0" applyFont="1" applyFill="1" applyBorder="1" applyAlignment="1">
      <alignment horizontal="center" wrapText="1"/>
    </xf>
    <xf numFmtId="3" fontId="0" fillId="3" borderId="0" xfId="0" applyNumberFormat="1" applyFill="1" applyBorder="1"/>
    <xf numFmtId="4" fontId="0" fillId="3" borderId="0" xfId="0" applyNumberFormat="1" applyFill="1" applyBorder="1"/>
    <xf numFmtId="3" fontId="0" fillId="4" borderId="0" xfId="0" applyNumberFormat="1" applyFill="1" applyBorder="1"/>
    <xf numFmtId="0" fontId="6" fillId="2" borderId="0" xfId="1" applyFont="1" applyBorder="1" applyAlignment="1">
      <alignment horizontal="center"/>
    </xf>
  </cellXfs>
  <cellStyles count="3">
    <cellStyle name="Neutral" xfId="1" builtinId="28"/>
    <cellStyle name="Normal" xfId="0" builtinId="0"/>
    <cellStyle name="Normal 3 2" xfId="2" xr:uid="{14ED7AEC-8968-4303-9383-CCF17DF5974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hitachigroupeur.sharepoint.com/sites/OTH_AT-ELEKTRA4.0/Shared%20Documents/2_Engineering/3_Virtual_Interlocking/24_RAM_&amp;_Safety_Engineering/RAM/04.Split_Brain/Prelim_RAM_Estimation_DSTW_Ed02_20260718.xlsx" TargetMode="External"/><Relationship Id="rId1" Type="http://schemas.openxmlformats.org/officeDocument/2006/relationships/externalLinkPath" Target="https://hitachigroupeur.sharepoint.com/sites/OTH_AT-ELEKTRA4.0/Shared%20Documents/2_Engineering/3_Virtual_Interlocking/24_RAM_&amp;_Safety_Engineering/RAM/04.Split_Brain/Prelim_RAM_Estimation_DSTW_Ed02_202607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
      <sheetName val="Edition"/>
      <sheetName val="1.Architechture"/>
      <sheetName val="2.Failure Rates"/>
      <sheetName val="3.Components_1"/>
      <sheetName val="3.Overview"/>
      <sheetName val="4.1 Calculations 2x(2oo2)"/>
      <sheetName val="Split_Brain_09_2026"/>
      <sheetName val="Split_Brain_260719"/>
      <sheetName val="4.2 Calculations 2oo3_hot"/>
      <sheetName val="4.3 Calculations  Warm_standby"/>
      <sheetName val="5.Summary"/>
      <sheetName val="6.Info"/>
      <sheetName val="6.Lastenheft OBB"/>
      <sheetName val="7.Lastenheft_RAM"/>
      <sheetName val="8. Verfügbarkeitsanforderungen"/>
      <sheetName val="settings"/>
      <sheetName val="considerations"/>
    </sheetNames>
    <sheetDataSet>
      <sheetData sheetId="0"/>
      <sheetData sheetId="1"/>
      <sheetData sheetId="2"/>
      <sheetData sheetId="3">
        <row r="9">
          <cell r="E9">
            <v>4235</v>
          </cell>
        </row>
        <row r="10">
          <cell r="E10">
            <v>4235</v>
          </cell>
        </row>
        <row r="11">
          <cell r="E11">
            <v>4235</v>
          </cell>
        </row>
        <row r="12">
          <cell r="E12">
            <v>211.75</v>
          </cell>
        </row>
        <row r="13">
          <cell r="E13">
            <v>211.75</v>
          </cell>
        </row>
        <row r="14">
          <cell r="E14">
            <v>211.75</v>
          </cell>
        </row>
        <row r="16">
          <cell r="E16">
            <v>9626</v>
          </cell>
        </row>
        <row r="17">
          <cell r="E17">
            <v>1.482558016</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1">
          <cell r="B1">
            <v>1.0000000000000001E-9</v>
          </cell>
        </row>
        <row r="2">
          <cell r="B2">
            <v>1</v>
          </cell>
        </row>
        <row r="4">
          <cell r="B4">
            <v>8</v>
          </cell>
        </row>
        <row r="5">
          <cell r="B5">
            <v>0.25</v>
          </cell>
        </row>
        <row r="6">
          <cell r="B6">
            <v>0.16666666666666666</v>
          </cell>
        </row>
        <row r="7">
          <cell r="B7">
            <v>8.3333333333333329E-2</v>
          </cell>
        </row>
        <row r="8">
          <cell r="B8">
            <v>0.05</v>
          </cell>
        </row>
        <row r="9">
          <cell r="B9">
            <v>3.3333333333333333E-2</v>
          </cell>
        </row>
        <row r="10">
          <cell r="B10">
            <v>1.6666666666666666E-2</v>
          </cell>
        </row>
        <row r="11">
          <cell r="B11">
            <v>8760</v>
          </cell>
        </row>
        <row r="12">
          <cell r="B12">
            <v>525600</v>
          </cell>
        </row>
        <row r="13">
          <cell r="B13">
            <v>31536000</v>
          </cell>
        </row>
        <row r="14">
          <cell r="B14">
            <v>8.3333333333333328E-4</v>
          </cell>
        </row>
      </sheetData>
      <sheetData sheetId="1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20C5A-618B-4045-8AEA-DDD1F4544B2A}">
  <dimension ref="A1:E14"/>
  <sheetViews>
    <sheetView workbookViewId="0">
      <selection activeCell="B1" sqref="B1"/>
    </sheetView>
  </sheetViews>
  <sheetFormatPr defaultColWidth="9.140625" defaultRowHeight="12.75" x14ac:dyDescent="0.2"/>
  <cols>
    <col min="1" max="1" width="13.85546875" style="9" bestFit="1" customWidth="1"/>
    <col min="2" max="16384" width="9.140625" style="9"/>
  </cols>
  <sheetData>
    <row r="1" spans="1:5" x14ac:dyDescent="0.2">
      <c r="A1" s="9" t="s">
        <v>37</v>
      </c>
      <c r="B1" s="10">
        <v>1.0000000000000001E-9</v>
      </c>
    </row>
    <row r="2" spans="1:5" x14ac:dyDescent="0.2">
      <c r="A2" s="9" t="s">
        <v>36</v>
      </c>
      <c r="B2" s="10">
        <v>1</v>
      </c>
    </row>
    <row r="3" spans="1:5" x14ac:dyDescent="0.2">
      <c r="A3" s="9" t="s">
        <v>35</v>
      </c>
      <c r="B3" s="10">
        <v>4</v>
      </c>
    </row>
    <row r="4" spans="1:5" x14ac:dyDescent="0.2">
      <c r="A4" s="9" t="s">
        <v>34</v>
      </c>
      <c r="B4" s="10">
        <v>8</v>
      </c>
    </row>
    <row r="5" spans="1:5" x14ac:dyDescent="0.2">
      <c r="A5" s="9" t="s">
        <v>33</v>
      </c>
      <c r="B5" s="10">
        <f>15/60</f>
        <v>0.25</v>
      </c>
      <c r="E5" s="10"/>
    </row>
    <row r="6" spans="1:5" x14ac:dyDescent="0.2">
      <c r="A6" s="9" t="s">
        <v>32</v>
      </c>
      <c r="B6" s="10">
        <f>10/60</f>
        <v>0.16666666666666666</v>
      </c>
      <c r="E6" s="10"/>
    </row>
    <row r="7" spans="1:5" x14ac:dyDescent="0.2">
      <c r="A7" s="9" t="s">
        <v>31</v>
      </c>
      <c r="B7" s="10">
        <f>5/60</f>
        <v>8.3333333333333329E-2</v>
      </c>
    </row>
    <row r="8" spans="1:5" x14ac:dyDescent="0.2">
      <c r="A8" s="9" t="s">
        <v>30</v>
      </c>
      <c r="B8" s="10">
        <v>0.05</v>
      </c>
      <c r="D8" s="10"/>
    </row>
    <row r="9" spans="1:5" x14ac:dyDescent="0.2">
      <c r="A9" s="9" t="s">
        <v>29</v>
      </c>
      <c r="B9" s="10">
        <f>2/60</f>
        <v>3.3333333333333333E-2</v>
      </c>
    </row>
    <row r="10" spans="1:5" x14ac:dyDescent="0.2">
      <c r="A10" s="9" t="s">
        <v>28</v>
      </c>
      <c r="B10" s="10">
        <v>1.6666666666666666E-2</v>
      </c>
    </row>
    <row r="11" spans="1:5" x14ac:dyDescent="0.2">
      <c r="A11" s="9" t="s">
        <v>27</v>
      </c>
      <c r="B11" s="10">
        <v>8760</v>
      </c>
    </row>
    <row r="12" spans="1:5" x14ac:dyDescent="0.2">
      <c r="A12" s="9" t="s">
        <v>26</v>
      </c>
      <c r="B12" s="10">
        <v>525600</v>
      </c>
    </row>
    <row r="13" spans="1:5" x14ac:dyDescent="0.2">
      <c r="A13" s="9" t="s">
        <v>25</v>
      </c>
      <c r="B13" s="10">
        <v>31536000</v>
      </c>
    </row>
    <row r="14" spans="1:5" x14ac:dyDescent="0.2">
      <c r="A14" s="9" t="s">
        <v>24</v>
      </c>
      <c r="B14">
        <f ca="1">MTTR_3sec</f>
        <v>8.3333333333333328E-4</v>
      </c>
    </row>
  </sheetData>
  <pageMargins left="0.7" right="0.7" top="0.75" bottom="0.75" header="0.3" footer="0.3"/>
  <pageSetup paperSize="9" orientation="portrait" verticalDpi="0" r:id="rId1"/>
  <headerFooter>
    <oddHeader>&amp;L&amp;"Arial Black"&amp;10&amp;K76923C&amp;1#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529A5-2751-46FA-A77C-BD46D04CA7B3}">
  <dimension ref="A3:K104"/>
  <sheetViews>
    <sheetView tabSelected="1" topLeftCell="A23" zoomScale="85" zoomScaleNormal="85" workbookViewId="0">
      <selection activeCell="I95" sqref="I95"/>
    </sheetView>
  </sheetViews>
  <sheetFormatPr defaultRowHeight="12.75" outlineLevelRow="1" x14ac:dyDescent="0.2"/>
  <cols>
    <col min="1" max="1" width="31.42578125" customWidth="1"/>
    <col min="2" max="2" width="33.85546875" customWidth="1"/>
    <col min="3" max="3" width="24.7109375" customWidth="1"/>
    <col min="4" max="4" width="13.28515625" customWidth="1"/>
    <col min="5" max="6" width="12.42578125" bestFit="1" customWidth="1"/>
    <col min="7" max="7" width="18.85546875" bestFit="1" customWidth="1"/>
    <col min="8" max="8" width="27.85546875" customWidth="1"/>
    <col min="9" max="9" width="12.5703125" customWidth="1"/>
    <col min="10" max="10" width="31.5703125" customWidth="1"/>
    <col min="11" max="11" width="28.140625" bestFit="1" customWidth="1"/>
  </cols>
  <sheetData>
    <row r="3" spans="1:8" ht="15" x14ac:dyDescent="0.25">
      <c r="A3" s="62"/>
      <c r="B3" s="63" t="s">
        <v>23</v>
      </c>
      <c r="C3" s="63" t="s">
        <v>22</v>
      </c>
      <c r="D3" s="63" t="s">
        <v>21</v>
      </c>
      <c r="E3" s="45"/>
      <c r="F3" s="45"/>
      <c r="G3" s="45"/>
      <c r="H3" s="46"/>
    </row>
    <row r="4" spans="1:8" x14ac:dyDescent="0.2">
      <c r="A4" s="17" t="s">
        <v>20</v>
      </c>
      <c r="B4" s="64">
        <v>10000</v>
      </c>
      <c r="C4" s="47" t="s">
        <v>17</v>
      </c>
      <c r="D4" s="47" t="s">
        <v>19</v>
      </c>
      <c r="E4" s="47"/>
      <c r="F4" s="47"/>
      <c r="G4" s="47"/>
      <c r="H4" s="49"/>
    </row>
    <row r="5" spans="1:8" x14ac:dyDescent="0.2">
      <c r="A5" s="17" t="s">
        <v>18</v>
      </c>
      <c r="B5" s="64">
        <v>3500</v>
      </c>
      <c r="C5" s="47" t="s">
        <v>17</v>
      </c>
      <c r="D5" s="47" t="s">
        <v>16</v>
      </c>
      <c r="E5" s="47"/>
      <c r="F5" s="47"/>
      <c r="G5" s="47"/>
      <c r="H5" s="49"/>
    </row>
    <row r="6" spans="1:8" x14ac:dyDescent="0.2">
      <c r="A6" s="17" t="s">
        <v>15</v>
      </c>
      <c r="B6" s="65">
        <v>0.02</v>
      </c>
      <c r="C6" s="47" t="s">
        <v>14</v>
      </c>
      <c r="D6" s="47" t="s">
        <v>13</v>
      </c>
      <c r="E6" s="47"/>
      <c r="F6" s="47"/>
      <c r="G6" s="47"/>
      <c r="H6" s="49"/>
    </row>
    <row r="7" spans="1:8" x14ac:dyDescent="0.2">
      <c r="A7" s="17" t="s">
        <v>12</v>
      </c>
      <c r="B7" s="64">
        <v>8760</v>
      </c>
      <c r="C7" s="47" t="s">
        <v>11</v>
      </c>
      <c r="D7" s="47" t="s">
        <v>6</v>
      </c>
      <c r="E7" s="47"/>
      <c r="F7" s="47"/>
      <c r="G7" s="47"/>
      <c r="H7" s="49"/>
    </row>
    <row r="8" spans="1:8" x14ac:dyDescent="0.2">
      <c r="A8" s="17" t="s">
        <v>10</v>
      </c>
      <c r="B8" s="66">
        <f>B7*60</f>
        <v>525600</v>
      </c>
      <c r="C8" s="47" t="s">
        <v>9</v>
      </c>
      <c r="D8" s="47" t="s">
        <v>6</v>
      </c>
      <c r="E8" s="47"/>
      <c r="F8" s="47"/>
      <c r="G8" s="47"/>
      <c r="H8" s="49"/>
    </row>
    <row r="9" spans="1:8" x14ac:dyDescent="0.2">
      <c r="A9" s="17" t="s">
        <v>8</v>
      </c>
      <c r="B9" s="66">
        <v>60</v>
      </c>
      <c r="C9" s="47" t="s">
        <v>7</v>
      </c>
      <c r="D9" s="47" t="s">
        <v>6</v>
      </c>
      <c r="E9" s="47"/>
      <c r="F9" s="47"/>
      <c r="G9" s="47"/>
      <c r="H9" s="49"/>
    </row>
    <row r="10" spans="1:8" ht="18.75" x14ac:dyDescent="0.3">
      <c r="A10" s="51" t="s">
        <v>1</v>
      </c>
      <c r="B10" s="67">
        <v>8</v>
      </c>
      <c r="C10" s="47"/>
      <c r="D10" s="47"/>
      <c r="E10" s="47"/>
      <c r="F10" s="47"/>
      <c r="G10" s="47"/>
      <c r="H10" s="49"/>
    </row>
    <row r="11" spans="1:8" x14ac:dyDescent="0.2">
      <c r="A11" s="17"/>
      <c r="B11" s="47"/>
      <c r="C11" s="47"/>
      <c r="D11" s="47"/>
      <c r="E11" s="47"/>
      <c r="F11" s="47"/>
      <c r="G11" s="47"/>
      <c r="H11" s="49"/>
    </row>
    <row r="12" spans="1:8" x14ac:dyDescent="0.2">
      <c r="A12" s="22" t="s">
        <v>5</v>
      </c>
      <c r="B12" s="30"/>
      <c r="C12" s="30"/>
      <c r="D12" s="30"/>
      <c r="E12" s="30"/>
      <c r="F12" s="30"/>
      <c r="G12" s="30"/>
      <c r="H12" s="57"/>
    </row>
    <row r="14" spans="1:8" outlineLevel="1" x14ac:dyDescent="0.2">
      <c r="A14" s="44" t="s">
        <v>4</v>
      </c>
      <c r="B14" s="45"/>
      <c r="C14" s="45"/>
      <c r="D14" s="45"/>
      <c r="E14" s="45"/>
      <c r="F14" s="45"/>
      <c r="G14" s="45"/>
      <c r="H14" s="46"/>
    </row>
    <row r="15" spans="1:8" outlineLevel="1" x14ac:dyDescent="0.2">
      <c r="A15" s="17"/>
      <c r="B15" s="47"/>
      <c r="C15" s="48"/>
      <c r="D15" s="47"/>
      <c r="E15" s="47"/>
      <c r="F15" s="47"/>
      <c r="G15" s="47"/>
      <c r="H15" s="49"/>
    </row>
    <row r="16" spans="1:8" outlineLevel="1" x14ac:dyDescent="0.2">
      <c r="A16" s="17" t="s">
        <v>3</v>
      </c>
      <c r="B16" s="18">
        <f>B4*nano</f>
        <v>1.0000000000000001E-5</v>
      </c>
      <c r="C16" s="50">
        <f>B16/nano</f>
        <v>10000</v>
      </c>
      <c r="D16" s="47"/>
      <c r="E16" s="47"/>
      <c r="F16" s="47"/>
      <c r="G16" s="47"/>
      <c r="H16" s="49"/>
    </row>
    <row r="17" spans="1:9" outlineLevel="1" x14ac:dyDescent="0.2">
      <c r="A17" s="51" t="s">
        <v>2</v>
      </c>
      <c r="B17" s="18">
        <f>B5*nano</f>
        <v>3.5000000000000004E-6</v>
      </c>
      <c r="C17" s="50">
        <f>B17/nano</f>
        <v>3500</v>
      </c>
      <c r="D17" s="47"/>
      <c r="E17" s="47"/>
      <c r="F17" s="47"/>
      <c r="G17" s="47"/>
      <c r="H17" s="49"/>
    </row>
    <row r="18" spans="1:9" outlineLevel="1" x14ac:dyDescent="0.2">
      <c r="A18" s="17"/>
      <c r="B18" s="47"/>
      <c r="C18" s="47"/>
      <c r="D18" s="47"/>
      <c r="E18" s="47"/>
      <c r="F18" s="47"/>
      <c r="G18" s="47"/>
      <c r="H18" s="49"/>
    </row>
    <row r="19" spans="1:9" outlineLevel="1" x14ac:dyDescent="0.2">
      <c r="A19" s="17" t="s">
        <v>38</v>
      </c>
      <c r="B19" s="52">
        <f>2*(B16*$B$10)^2</f>
        <v>1.2800000000000002E-8</v>
      </c>
      <c r="C19" s="53">
        <f>B19*100</f>
        <v>1.2800000000000002E-6</v>
      </c>
      <c r="D19" s="47"/>
      <c r="E19" s="47"/>
      <c r="F19" s="47"/>
      <c r="G19" s="47"/>
      <c r="H19" s="49"/>
    </row>
    <row r="20" spans="1:9" outlineLevel="1" x14ac:dyDescent="0.2">
      <c r="A20" s="17" t="s">
        <v>39</v>
      </c>
      <c r="B20" s="18">
        <f>B17*$B$10</f>
        <v>2.8000000000000003E-5</v>
      </c>
      <c r="C20" s="54">
        <f>B20*100</f>
        <v>2.8000000000000004E-3</v>
      </c>
      <c r="D20" s="47"/>
      <c r="E20" s="47" t="s">
        <v>79</v>
      </c>
      <c r="F20" s="47"/>
      <c r="G20" s="47"/>
      <c r="H20" s="49"/>
    </row>
    <row r="21" spans="1:9" outlineLevel="1" x14ac:dyDescent="0.2">
      <c r="A21" s="17" t="s">
        <v>40</v>
      </c>
      <c r="B21" s="18">
        <f>B19*B20</f>
        <v>3.5840000000000012E-13</v>
      </c>
      <c r="C21" s="55">
        <f>B21*100</f>
        <v>3.5840000000000009E-11</v>
      </c>
      <c r="D21" s="47"/>
      <c r="E21" s="47"/>
      <c r="F21" s="47"/>
      <c r="G21" s="47"/>
      <c r="H21" s="49"/>
    </row>
    <row r="22" spans="1:9" outlineLevel="1" x14ac:dyDescent="0.2">
      <c r="A22" s="17" t="s">
        <v>42</v>
      </c>
      <c r="B22" s="18">
        <f>B21/$B$10</f>
        <v>4.4800000000000015E-14</v>
      </c>
      <c r="C22" s="47"/>
      <c r="D22" s="47"/>
      <c r="E22" s="47"/>
      <c r="F22" s="47"/>
      <c r="G22" s="47"/>
      <c r="H22" s="49"/>
    </row>
    <row r="23" spans="1:9" outlineLevel="1" x14ac:dyDescent="0.2">
      <c r="A23" s="17" t="s">
        <v>41</v>
      </c>
      <c r="B23" s="18">
        <f>B22/nano</f>
        <v>4.4800000000000012E-5</v>
      </c>
      <c r="C23" s="19">
        <f>B23</f>
        <v>4.4800000000000012E-5</v>
      </c>
      <c r="D23" s="47"/>
      <c r="E23" s="47"/>
      <c r="F23" s="47"/>
      <c r="G23" s="47"/>
      <c r="H23" s="49"/>
    </row>
    <row r="24" spans="1:9" outlineLevel="1" x14ac:dyDescent="0.2">
      <c r="A24" s="17"/>
      <c r="B24" s="47"/>
      <c r="C24" s="47"/>
      <c r="D24" s="47"/>
      <c r="E24" s="47"/>
      <c r="F24" s="47"/>
      <c r="G24" s="47"/>
      <c r="H24" s="49"/>
    </row>
    <row r="25" spans="1:9" outlineLevel="1" x14ac:dyDescent="0.2">
      <c r="A25" s="17" t="s">
        <v>43</v>
      </c>
      <c r="B25" s="47"/>
      <c r="C25" s="47"/>
      <c r="D25" s="47"/>
      <c r="E25" s="47"/>
      <c r="F25" s="47"/>
      <c r="G25" s="47"/>
      <c r="H25" s="49"/>
    </row>
    <row r="26" spans="1:9" outlineLevel="1" x14ac:dyDescent="0.2">
      <c r="A26" s="17" t="s">
        <v>0</v>
      </c>
      <c r="B26" s="18">
        <f>B21*8760*60</f>
        <v>1.8837504000000006E-7</v>
      </c>
      <c r="C26" s="20">
        <f>B26</f>
        <v>1.8837504000000006E-7</v>
      </c>
      <c r="D26" s="47"/>
      <c r="E26" s="47"/>
      <c r="F26" s="47"/>
      <c r="G26" s="47"/>
      <c r="H26" s="49"/>
    </row>
    <row r="27" spans="1:9" outlineLevel="1" x14ac:dyDescent="0.2">
      <c r="A27" s="22" t="s">
        <v>44</v>
      </c>
      <c r="B27" s="23">
        <f>B26*60</f>
        <v>1.1302502400000004E-5</v>
      </c>
      <c r="C27" s="56">
        <f>B27</f>
        <v>1.1302502400000004E-5</v>
      </c>
      <c r="D27" s="30"/>
      <c r="E27" s="30"/>
      <c r="F27" s="30"/>
      <c r="G27" s="30"/>
      <c r="H27" s="57"/>
    </row>
    <row r="28" spans="1:9" outlineLevel="1" x14ac:dyDescent="0.2">
      <c r="B28" s="6"/>
      <c r="C28" s="14"/>
    </row>
    <row r="29" spans="1:9" ht="38.25" outlineLevel="1" x14ac:dyDescent="0.2">
      <c r="A29" s="58" t="s">
        <v>45</v>
      </c>
      <c r="B29" s="59" t="s">
        <v>38</v>
      </c>
      <c r="C29" s="59" t="s">
        <v>39</v>
      </c>
      <c r="D29" s="59" t="s">
        <v>40</v>
      </c>
      <c r="E29" s="59" t="s">
        <v>42</v>
      </c>
      <c r="F29" s="59" t="s">
        <v>46</v>
      </c>
      <c r="G29" s="59" t="s">
        <v>47</v>
      </c>
      <c r="H29" s="60" t="s">
        <v>48</v>
      </c>
      <c r="I29" s="15"/>
    </row>
    <row r="30" spans="1:9" outlineLevel="1" x14ac:dyDescent="0.2">
      <c r="A30" s="17">
        <v>1</v>
      </c>
      <c r="B30" s="18">
        <f>2*($B$16*A30)^2</f>
        <v>2.0000000000000003E-10</v>
      </c>
      <c r="C30" s="18">
        <f>$B$17*A30</f>
        <v>3.5000000000000004E-6</v>
      </c>
      <c r="D30" s="18">
        <f>B30*C30</f>
        <v>7.0000000000000023E-16</v>
      </c>
      <c r="E30" s="18">
        <f>D30/A30</f>
        <v>7.0000000000000023E-16</v>
      </c>
      <c r="F30" s="19">
        <f>E30/nano</f>
        <v>7.0000000000000018E-7</v>
      </c>
      <c r="G30" s="20">
        <f>D30*8760*60</f>
        <v>3.6792000000000011E-10</v>
      </c>
      <c r="H30" s="21">
        <f>G30*60</f>
        <v>2.2075200000000008E-8</v>
      </c>
    </row>
    <row r="31" spans="1:9" outlineLevel="1" x14ac:dyDescent="0.2">
      <c r="A31" s="17">
        <v>2</v>
      </c>
      <c r="B31" s="18">
        <f t="shared" ref="B31:B35" si="0">2*($B$16*A31)^2</f>
        <v>8.0000000000000013E-10</v>
      </c>
      <c r="C31" s="18">
        <f t="shared" ref="C31:C34" si="1">$B$17*A31</f>
        <v>7.0000000000000007E-6</v>
      </c>
      <c r="D31" s="18">
        <f t="shared" ref="D31:D34" si="2">B31*C31</f>
        <v>5.6000000000000019E-15</v>
      </c>
      <c r="E31" s="18">
        <f t="shared" ref="E31:E34" si="3">D31/A31</f>
        <v>2.8000000000000009E-15</v>
      </c>
      <c r="F31" s="19">
        <f>E31/nano</f>
        <v>2.8000000000000007E-6</v>
      </c>
      <c r="G31" s="20">
        <f t="shared" ref="G31:G34" si="4">D31*8760*60</f>
        <v>2.9433600000000009E-9</v>
      </c>
      <c r="H31" s="21">
        <f t="shared" ref="H31:H35" si="5">G31*60</f>
        <v>1.7660160000000007E-7</v>
      </c>
    </row>
    <row r="32" spans="1:9" outlineLevel="1" x14ac:dyDescent="0.2">
      <c r="A32" s="17">
        <v>4</v>
      </c>
      <c r="B32" s="18">
        <f t="shared" si="0"/>
        <v>3.2000000000000005E-9</v>
      </c>
      <c r="C32" s="18">
        <f t="shared" si="1"/>
        <v>1.4000000000000001E-5</v>
      </c>
      <c r="D32" s="18">
        <f t="shared" si="2"/>
        <v>4.4800000000000015E-14</v>
      </c>
      <c r="E32" s="18">
        <f t="shared" si="3"/>
        <v>1.1200000000000004E-14</v>
      </c>
      <c r="F32" s="19">
        <f>E32/nano</f>
        <v>1.1200000000000003E-5</v>
      </c>
      <c r="G32" s="20">
        <f t="shared" si="4"/>
        <v>2.3546880000000007E-8</v>
      </c>
      <c r="H32" s="21">
        <f t="shared" si="5"/>
        <v>1.4128128000000005E-6</v>
      </c>
    </row>
    <row r="33" spans="1:11" outlineLevel="1" x14ac:dyDescent="0.2">
      <c r="A33" s="17">
        <v>8</v>
      </c>
      <c r="B33" s="18">
        <f t="shared" si="0"/>
        <v>1.2800000000000002E-8</v>
      </c>
      <c r="C33" s="18">
        <f t="shared" si="1"/>
        <v>2.8000000000000003E-5</v>
      </c>
      <c r="D33" s="18">
        <f t="shared" si="2"/>
        <v>3.5840000000000012E-13</v>
      </c>
      <c r="E33" s="18">
        <f t="shared" si="3"/>
        <v>4.4800000000000015E-14</v>
      </c>
      <c r="F33" s="19">
        <f>E33/nano</f>
        <v>4.4800000000000012E-5</v>
      </c>
      <c r="G33" s="20">
        <f t="shared" si="4"/>
        <v>1.8837504000000006E-7</v>
      </c>
      <c r="H33" s="21">
        <f t="shared" si="5"/>
        <v>1.1302502400000004E-5</v>
      </c>
    </row>
    <row r="34" spans="1:11" outlineLevel="1" x14ac:dyDescent="0.2">
      <c r="A34" s="17">
        <v>12</v>
      </c>
      <c r="B34" s="18">
        <f t="shared" si="0"/>
        <v>2.8800000000000006E-8</v>
      </c>
      <c r="C34" s="18">
        <f t="shared" si="1"/>
        <v>4.2000000000000004E-5</v>
      </c>
      <c r="D34" s="18">
        <f t="shared" si="2"/>
        <v>1.2096000000000004E-12</v>
      </c>
      <c r="E34" s="18">
        <f t="shared" si="3"/>
        <v>1.0080000000000003E-13</v>
      </c>
      <c r="F34" s="19">
        <f>E34/nano</f>
        <v>1.0080000000000002E-4</v>
      </c>
      <c r="G34" s="20">
        <f t="shared" si="4"/>
        <v>6.3576576000000022E-7</v>
      </c>
      <c r="H34" s="21">
        <f t="shared" si="5"/>
        <v>3.8145945600000016E-5</v>
      </c>
    </row>
    <row r="35" spans="1:11" outlineLevel="1" x14ac:dyDescent="0.2">
      <c r="A35" s="22">
        <v>24</v>
      </c>
      <c r="B35" s="23">
        <f t="shared" si="0"/>
        <v>1.1520000000000003E-7</v>
      </c>
      <c r="C35" s="23">
        <f t="shared" ref="C35" si="6">$B$17*A35</f>
        <v>8.4000000000000009E-5</v>
      </c>
      <c r="D35" s="23">
        <f t="shared" ref="D35" si="7">B35*C35</f>
        <v>9.6768000000000034E-12</v>
      </c>
      <c r="E35" s="23">
        <f t="shared" ref="E35" si="8">D35/A35</f>
        <v>4.0320000000000014E-13</v>
      </c>
      <c r="F35" s="24">
        <f>E35/nano</f>
        <v>4.032000000000001E-4</v>
      </c>
      <c r="G35" s="25">
        <f t="shared" ref="G35" si="9">D35*8760*60</f>
        <v>5.0861260800000017E-6</v>
      </c>
      <c r="H35" s="26">
        <f t="shared" si="5"/>
        <v>3.0516756480000013E-4</v>
      </c>
    </row>
    <row r="36" spans="1:11" outlineLevel="1" x14ac:dyDescent="0.2">
      <c r="B36" s="6"/>
      <c r="C36" s="14"/>
    </row>
    <row r="39" spans="1:11" hidden="1" outlineLevel="1" x14ac:dyDescent="0.2">
      <c r="A39" s="44" t="s">
        <v>49</v>
      </c>
      <c r="B39" s="6"/>
      <c r="C39" s="5"/>
      <c r="G39" s="4"/>
      <c r="H39" s="3"/>
      <c r="I39" s="2"/>
      <c r="J39" s="2"/>
      <c r="K39" s="1"/>
    </row>
    <row r="40" spans="1:11" hidden="1" outlineLevel="1" x14ac:dyDescent="0.2">
      <c r="A40" s="61"/>
      <c r="B40" s="6"/>
      <c r="C40" s="5"/>
      <c r="G40" s="4"/>
      <c r="H40" s="3"/>
      <c r="I40" s="2"/>
      <c r="J40" s="2"/>
      <c r="K40" s="1"/>
    </row>
    <row r="41" spans="1:11" hidden="1" outlineLevel="1" x14ac:dyDescent="0.2">
      <c r="A41" s="61"/>
      <c r="B41" s="6"/>
      <c r="C41" s="5"/>
      <c r="G41" s="4"/>
      <c r="H41" s="3"/>
      <c r="I41" s="2"/>
      <c r="J41" s="2"/>
      <c r="K41" s="1"/>
    </row>
    <row r="42" spans="1:11" hidden="1" outlineLevel="1" x14ac:dyDescent="0.2">
      <c r="A42" s="6" t="s">
        <v>54</v>
      </c>
      <c r="B42" s="12">
        <f>B6</f>
        <v>0.02</v>
      </c>
      <c r="C42" s="5"/>
      <c r="G42" s="4"/>
      <c r="H42" s="3"/>
      <c r="I42" s="2"/>
      <c r="J42" s="2"/>
      <c r="K42" s="1"/>
    </row>
    <row r="43" spans="1:11" hidden="1" outlineLevel="1" x14ac:dyDescent="0.2">
      <c r="A43" s="7" t="s">
        <v>50</v>
      </c>
      <c r="B43" s="6">
        <f>0.02*B4*nano</f>
        <v>2.0000000000000002E-7</v>
      </c>
      <c r="C43" s="5"/>
      <c r="G43" s="4"/>
      <c r="H43" s="3"/>
      <c r="I43" s="2"/>
      <c r="J43" s="2"/>
      <c r="K43" s="1"/>
    </row>
    <row r="44" spans="1:11" hidden="1" outlineLevel="1" x14ac:dyDescent="0.2">
      <c r="A44" t="s">
        <v>51</v>
      </c>
      <c r="B44" s="8">
        <f>B43/nano</f>
        <v>200</v>
      </c>
    </row>
    <row r="45" spans="1:11" hidden="1" outlineLevel="1" x14ac:dyDescent="0.2"/>
    <row r="46" spans="1:11" hidden="1" outlineLevel="1" x14ac:dyDescent="0.2">
      <c r="A46" s="7" t="s">
        <v>52</v>
      </c>
    </row>
    <row r="47" spans="1:11" hidden="1" outlineLevel="1" x14ac:dyDescent="0.2"/>
    <row r="48" spans="1:11" hidden="1" outlineLevel="1" x14ac:dyDescent="0.2">
      <c r="A48" t="s">
        <v>53</v>
      </c>
      <c r="B48" s="6">
        <f>(1-B42)*B4*nano</f>
        <v>9.800000000000001E-6</v>
      </c>
    </row>
    <row r="49" spans="1:4" hidden="1" outlineLevel="1" x14ac:dyDescent="0.2">
      <c r="A49" t="s">
        <v>55</v>
      </c>
      <c r="B49" s="8">
        <f>B48/nano</f>
        <v>9800</v>
      </c>
    </row>
    <row r="50" spans="1:4" hidden="1" outlineLevel="1" x14ac:dyDescent="0.2"/>
    <row r="51" spans="1:4" hidden="1" outlineLevel="1" x14ac:dyDescent="0.2">
      <c r="A51" s="11" t="s">
        <v>57</v>
      </c>
      <c r="B51" s="6">
        <f>B43*$B$10</f>
        <v>1.6000000000000001E-6</v>
      </c>
      <c r="D51" t="s">
        <v>56</v>
      </c>
    </row>
    <row r="52" spans="1:4" hidden="1" outlineLevel="1" x14ac:dyDescent="0.2"/>
    <row r="53" spans="1:4" hidden="1" outlineLevel="1" x14ac:dyDescent="0.2">
      <c r="A53" t="s">
        <v>58</v>
      </c>
    </row>
    <row r="54" spans="1:4" hidden="1" outlineLevel="1" x14ac:dyDescent="0.2">
      <c r="A54" t="s">
        <v>59</v>
      </c>
    </row>
    <row r="55" spans="1:4" hidden="1" outlineLevel="1" x14ac:dyDescent="0.2">
      <c r="A55" t="s">
        <v>60</v>
      </c>
      <c r="B55" s="2">
        <f>2*(B48*$B$10)^2</f>
        <v>1.2293120000000003E-8</v>
      </c>
    </row>
    <row r="56" spans="1:4" hidden="1" outlineLevel="1" x14ac:dyDescent="0.2"/>
    <row r="57" spans="1:4" hidden="1" outlineLevel="1" x14ac:dyDescent="0.2">
      <c r="A57" t="s">
        <v>61</v>
      </c>
    </row>
    <row r="58" spans="1:4" hidden="1" outlineLevel="1" x14ac:dyDescent="0.2">
      <c r="A58" t="s">
        <v>62</v>
      </c>
      <c r="B58" s="31">
        <f>B51+B55</f>
        <v>1.6122931200000002E-6</v>
      </c>
    </row>
    <row r="59" spans="1:4" hidden="1" outlineLevel="1" x14ac:dyDescent="0.2"/>
    <row r="60" spans="1:4" hidden="1" outlineLevel="1" x14ac:dyDescent="0.2"/>
    <row r="61" spans="1:4" hidden="1" outlineLevel="1" x14ac:dyDescent="0.2">
      <c r="A61" s="44" t="s">
        <v>80</v>
      </c>
    </row>
    <row r="62" spans="1:4" hidden="1" outlineLevel="1" x14ac:dyDescent="0.2"/>
    <row r="63" spans="1:4" hidden="1" outlineLevel="1" x14ac:dyDescent="0.2"/>
    <row r="64" spans="1:4" hidden="1" outlineLevel="1" x14ac:dyDescent="0.2">
      <c r="A64" s="7" t="s">
        <v>2</v>
      </c>
      <c r="B64" s="6">
        <f>B5*nano</f>
        <v>3.5000000000000004E-6</v>
      </c>
      <c r="C64" s="8">
        <f>B64/nano</f>
        <v>3500</v>
      </c>
    </row>
    <row r="65" spans="1:4" hidden="1" outlineLevel="1" x14ac:dyDescent="0.2">
      <c r="A65" s="16" t="s">
        <v>63</v>
      </c>
      <c r="B65" s="6">
        <f>B64*$B$10</f>
        <v>2.8000000000000003E-5</v>
      </c>
      <c r="C65" s="8"/>
    </row>
    <row r="66" spans="1:4" hidden="1" outlineLevel="1" x14ac:dyDescent="0.2"/>
    <row r="67" spans="1:4" hidden="1" outlineLevel="1" x14ac:dyDescent="0.2">
      <c r="A67" s="44" t="s">
        <v>64</v>
      </c>
    </row>
    <row r="68" spans="1:4" hidden="1" outlineLevel="1" x14ac:dyDescent="0.2">
      <c r="A68" t="s">
        <v>65</v>
      </c>
    </row>
    <row r="69" spans="1:4" hidden="1" outlineLevel="1" x14ac:dyDescent="0.2">
      <c r="A69" s="7" t="s">
        <v>66</v>
      </c>
    </row>
    <row r="70" spans="1:4" hidden="1" outlineLevel="1" x14ac:dyDescent="0.2">
      <c r="A70" s="16" t="s">
        <v>67</v>
      </c>
      <c r="B70" s="2">
        <f>B58*B65</f>
        <v>4.5144207360000012E-11</v>
      </c>
    </row>
    <row r="71" spans="1:4" hidden="1" outlineLevel="1" x14ac:dyDescent="0.2">
      <c r="A71" s="16" t="s">
        <v>68</v>
      </c>
      <c r="B71" s="2">
        <f>B70/$B$10</f>
        <v>5.6430259200000015E-12</v>
      </c>
    </row>
    <row r="72" spans="1:4" hidden="1" outlineLevel="1" x14ac:dyDescent="0.2">
      <c r="A72" s="16" t="s">
        <v>69</v>
      </c>
      <c r="B72" s="34">
        <f>B71/nano</f>
        <v>5.643025920000001E-3</v>
      </c>
    </row>
    <row r="73" spans="1:4" hidden="1" outlineLevel="1" x14ac:dyDescent="0.2">
      <c r="A73" s="16"/>
      <c r="B73" s="32"/>
    </row>
    <row r="74" spans="1:4" hidden="1" outlineLevel="1" x14ac:dyDescent="0.2">
      <c r="A74" t="s">
        <v>43</v>
      </c>
      <c r="B74" s="32"/>
    </row>
    <row r="75" spans="1:4" hidden="1" outlineLevel="1" x14ac:dyDescent="0.2">
      <c r="A75" t="s">
        <v>0</v>
      </c>
      <c r="B75" s="33">
        <f>B70*365*24*60</f>
        <v>2.3727795388416007E-5</v>
      </c>
    </row>
    <row r="76" spans="1:4" hidden="1" outlineLevel="1" x14ac:dyDescent="0.2">
      <c r="A76" t="s">
        <v>44</v>
      </c>
      <c r="B76" s="34">
        <f>B75*60</f>
        <v>1.4236677233049604E-3</v>
      </c>
      <c r="D76" t="s">
        <v>70</v>
      </c>
    </row>
    <row r="77" spans="1:4" hidden="1" outlineLevel="1" x14ac:dyDescent="0.2">
      <c r="B77" s="13"/>
    </row>
    <row r="78" spans="1:4" hidden="1" outlineLevel="1" x14ac:dyDescent="0.2">
      <c r="B78" s="13"/>
    </row>
    <row r="79" spans="1:4" hidden="1" outlineLevel="1" x14ac:dyDescent="0.2">
      <c r="A79" t="s">
        <v>71</v>
      </c>
      <c r="B79" s="13"/>
    </row>
    <row r="80" spans="1:4" hidden="1" outlineLevel="1" x14ac:dyDescent="0.2">
      <c r="A80" s="16" t="s">
        <v>63</v>
      </c>
      <c r="B80" s="35">
        <f>B64*$B$10</f>
        <v>2.8000000000000003E-5</v>
      </c>
    </row>
    <row r="81" spans="1:3" hidden="1" outlineLevel="1" x14ac:dyDescent="0.2">
      <c r="A81" t="s">
        <v>62</v>
      </c>
      <c r="B81" s="35">
        <f>B51+B55</f>
        <v>1.6122931200000002E-6</v>
      </c>
      <c r="C81" t="s">
        <v>81</v>
      </c>
    </row>
    <row r="82" spans="1:3" hidden="1" outlineLevel="1" x14ac:dyDescent="0.2">
      <c r="A82" s="44" t="s">
        <v>72</v>
      </c>
      <c r="B82" s="13" t="s">
        <v>82</v>
      </c>
    </row>
    <row r="83" spans="1:3" hidden="1" outlineLevel="1" x14ac:dyDescent="0.2">
      <c r="B83" s="13"/>
    </row>
    <row r="84" spans="1:3" hidden="1" outlineLevel="1" x14ac:dyDescent="0.2">
      <c r="A84" t="s">
        <v>73</v>
      </c>
      <c r="B84" s="36">
        <f>B81*B80</f>
        <v>4.5144207360000012E-11</v>
      </c>
    </row>
    <row r="85" spans="1:3" hidden="1" outlineLevel="1" x14ac:dyDescent="0.2">
      <c r="B85" s="13"/>
    </row>
    <row r="86" spans="1:3" hidden="1" outlineLevel="1" x14ac:dyDescent="0.2">
      <c r="A86" s="44" t="s">
        <v>74</v>
      </c>
      <c r="B86" s="13" t="s">
        <v>83</v>
      </c>
    </row>
    <row r="87" spans="1:3" hidden="1" outlineLevel="1" x14ac:dyDescent="0.2">
      <c r="B87" s="13"/>
    </row>
    <row r="88" spans="1:3" hidden="1" outlineLevel="1" x14ac:dyDescent="0.2">
      <c r="B88" s="13"/>
    </row>
    <row r="89" spans="1:3" hidden="1" outlineLevel="1" x14ac:dyDescent="0.2">
      <c r="A89" t="s">
        <v>75</v>
      </c>
      <c r="B89" s="37">
        <f>B55*B80</f>
        <v>3.4420736000000013E-13</v>
      </c>
    </row>
    <row r="90" spans="1:3" hidden="1" outlineLevel="1" x14ac:dyDescent="0.2">
      <c r="B90" s="13"/>
    </row>
    <row r="91" spans="1:3" hidden="1" outlineLevel="1" x14ac:dyDescent="0.2">
      <c r="A91" t="s">
        <v>76</v>
      </c>
      <c r="B91" s="38">
        <f>B84+B89</f>
        <v>4.5488414720000014E-11</v>
      </c>
    </row>
    <row r="92" spans="1:3" ht="13.5" collapsed="1" thickBot="1" x14ac:dyDescent="0.25">
      <c r="B92" s="13"/>
    </row>
    <row r="93" spans="1:3" x14ac:dyDescent="0.2">
      <c r="A93" s="39" t="s">
        <v>77</v>
      </c>
      <c r="B93" s="40">
        <f>B84/B91</f>
        <v>0.99243307637518829</v>
      </c>
    </row>
    <row r="94" spans="1:3" ht="13.5" thickBot="1" x14ac:dyDescent="0.25">
      <c r="A94" s="41" t="s">
        <v>78</v>
      </c>
      <c r="B94" s="42">
        <f>B89/B91</f>
        <v>7.5669236248116943E-3</v>
      </c>
    </row>
    <row r="95" spans="1:3" x14ac:dyDescent="0.2">
      <c r="B95" s="13"/>
    </row>
    <row r="96" spans="1:3" x14ac:dyDescent="0.2">
      <c r="A96" s="43" t="s">
        <v>85</v>
      </c>
    </row>
    <row r="98" spans="1:8" ht="66" x14ac:dyDescent="0.2">
      <c r="A98" s="27" t="s">
        <v>45</v>
      </c>
      <c r="B98" s="28" t="s">
        <v>84</v>
      </c>
      <c r="C98" s="28" t="s">
        <v>39</v>
      </c>
      <c r="D98" s="28" t="s">
        <v>40</v>
      </c>
      <c r="E98" s="28" t="s">
        <v>42</v>
      </c>
      <c r="F98" s="28" t="s">
        <v>46</v>
      </c>
      <c r="G98" s="28" t="s">
        <v>47</v>
      </c>
      <c r="H98" s="29" t="s">
        <v>48</v>
      </c>
    </row>
    <row r="99" spans="1:8" x14ac:dyDescent="0.2">
      <c r="A99" s="17">
        <v>1</v>
      </c>
      <c r="B99" s="18">
        <f>$B$43*A99</f>
        <v>2.0000000000000002E-7</v>
      </c>
      <c r="C99" s="18">
        <f>$B$64*A99</f>
        <v>3.5000000000000004E-6</v>
      </c>
      <c r="D99" s="18">
        <f>B99*C99</f>
        <v>7.0000000000000015E-13</v>
      </c>
      <c r="E99" s="18">
        <f>D99/A99</f>
        <v>7.0000000000000015E-13</v>
      </c>
      <c r="F99" s="19">
        <f>E99/nano</f>
        <v>7.000000000000001E-4</v>
      </c>
      <c r="G99" s="20">
        <f>D99*8760*60</f>
        <v>3.6792000000000008E-7</v>
      </c>
      <c r="H99" s="21">
        <f>G99*60</f>
        <v>2.2075200000000005E-5</v>
      </c>
    </row>
    <row r="100" spans="1:8" x14ac:dyDescent="0.2">
      <c r="A100" s="17">
        <v>2</v>
      </c>
      <c r="B100" s="18">
        <f t="shared" ref="B100:B104" si="10">$B$43*A100</f>
        <v>4.0000000000000003E-7</v>
      </c>
      <c r="C100" s="18">
        <f t="shared" ref="C100:C104" si="11">$B$64*A100</f>
        <v>7.0000000000000007E-6</v>
      </c>
      <c r="D100" s="18">
        <f t="shared" ref="D100:D104" si="12">B100*C100</f>
        <v>2.8000000000000006E-12</v>
      </c>
      <c r="E100" s="18">
        <f t="shared" ref="E100:E104" si="13">D100/A100</f>
        <v>1.4000000000000003E-12</v>
      </c>
      <c r="F100" s="19">
        <f>E100/nano</f>
        <v>1.4000000000000002E-3</v>
      </c>
      <c r="G100" s="20">
        <f t="shared" ref="G100:G104" si="14">D100*8760*60</f>
        <v>1.4716800000000003E-6</v>
      </c>
      <c r="H100" s="21">
        <f t="shared" ref="H100:H104" si="15">G100*60</f>
        <v>8.830080000000002E-5</v>
      </c>
    </row>
    <row r="101" spans="1:8" x14ac:dyDescent="0.2">
      <c r="A101" s="17">
        <v>4</v>
      </c>
      <c r="B101" s="18">
        <f t="shared" si="10"/>
        <v>8.0000000000000007E-7</v>
      </c>
      <c r="C101" s="18">
        <f t="shared" si="11"/>
        <v>1.4000000000000001E-5</v>
      </c>
      <c r="D101" s="18">
        <f t="shared" si="12"/>
        <v>1.1200000000000002E-11</v>
      </c>
      <c r="E101" s="18">
        <f t="shared" si="13"/>
        <v>2.8000000000000006E-12</v>
      </c>
      <c r="F101" s="19">
        <f>E101/nano</f>
        <v>2.8000000000000004E-3</v>
      </c>
      <c r="G101" s="20">
        <f t="shared" si="14"/>
        <v>5.8867200000000013E-6</v>
      </c>
      <c r="H101" s="21">
        <f t="shared" si="15"/>
        <v>3.5320320000000008E-4</v>
      </c>
    </row>
    <row r="102" spans="1:8" x14ac:dyDescent="0.2">
      <c r="A102" s="17">
        <v>8</v>
      </c>
      <c r="B102" s="18">
        <f t="shared" si="10"/>
        <v>1.6000000000000001E-6</v>
      </c>
      <c r="C102" s="18">
        <f t="shared" si="11"/>
        <v>2.8000000000000003E-5</v>
      </c>
      <c r="D102" s="18">
        <f t="shared" si="12"/>
        <v>4.4800000000000009E-11</v>
      </c>
      <c r="E102" s="18">
        <f t="shared" si="13"/>
        <v>5.6000000000000012E-12</v>
      </c>
      <c r="F102" s="19">
        <f>E102/nano</f>
        <v>5.6000000000000008E-3</v>
      </c>
      <c r="G102" s="20">
        <f t="shared" si="14"/>
        <v>2.3546880000000005E-5</v>
      </c>
      <c r="H102" s="21">
        <f t="shared" si="15"/>
        <v>1.4128128000000003E-3</v>
      </c>
    </row>
    <row r="103" spans="1:8" x14ac:dyDescent="0.2">
      <c r="A103" s="17">
        <v>12</v>
      </c>
      <c r="B103" s="18">
        <f t="shared" si="10"/>
        <v>2.4000000000000003E-6</v>
      </c>
      <c r="C103" s="18">
        <f t="shared" si="11"/>
        <v>4.2000000000000004E-5</v>
      </c>
      <c r="D103" s="18">
        <f t="shared" si="12"/>
        <v>1.0080000000000003E-10</v>
      </c>
      <c r="E103" s="18">
        <f t="shared" si="13"/>
        <v>8.400000000000003E-12</v>
      </c>
      <c r="F103" s="19">
        <f>E103/nano</f>
        <v>8.400000000000003E-3</v>
      </c>
      <c r="G103" s="20">
        <f t="shared" si="14"/>
        <v>5.2980480000000018E-5</v>
      </c>
      <c r="H103" s="21">
        <f t="shared" si="15"/>
        <v>3.178828800000001E-3</v>
      </c>
    </row>
    <row r="104" spans="1:8" x14ac:dyDescent="0.2">
      <c r="A104" s="22">
        <v>24</v>
      </c>
      <c r="B104" s="23">
        <f t="shared" si="10"/>
        <v>4.8000000000000006E-6</v>
      </c>
      <c r="C104" s="23">
        <f t="shared" si="11"/>
        <v>8.4000000000000009E-5</v>
      </c>
      <c r="D104" s="23">
        <f t="shared" si="12"/>
        <v>4.0320000000000012E-10</v>
      </c>
      <c r="E104" s="23">
        <f t="shared" si="13"/>
        <v>1.6800000000000006E-11</v>
      </c>
      <c r="F104" s="24">
        <f>E104/nano</f>
        <v>1.6800000000000006E-2</v>
      </c>
      <c r="G104" s="25">
        <f t="shared" si="14"/>
        <v>2.1192192000000007E-4</v>
      </c>
      <c r="H104" s="26">
        <f t="shared" si="15"/>
        <v>1.2715315200000004E-2</v>
      </c>
    </row>
  </sheetData>
  <pageMargins left="0.7" right="0.7" top="0.75" bottom="0.75" header="0.3" footer="0.3"/>
</worksheet>
</file>

<file path=docMetadata/LabelInfo.xml><?xml version="1.0" encoding="utf-8"?>
<clbl:labelList xmlns:clbl="http://schemas.microsoft.com/office/2020/mipLabelMetadata">
  <clbl:label id="{f54277c9-dafe-44aa-85a4-73d5c7c52450}" enabled="0" method="" siteId="{f54277c9-dafe-44aa-85a4-73d5c7c5245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15</vt:i4>
      </vt:variant>
    </vt:vector>
  </HeadingPairs>
  <TitlesOfParts>
    <vt:vector size="17" baseType="lpstr">
      <vt:lpstr>settings</vt:lpstr>
      <vt:lpstr>Split_Brain_09_2026</vt:lpstr>
      <vt:lpstr>settings!hours_per_year</vt:lpstr>
      <vt:lpstr>settings!min_per_year</vt:lpstr>
      <vt:lpstr>MTTR</vt:lpstr>
      <vt:lpstr>settings!MTTR_10min</vt:lpstr>
      <vt:lpstr>settings!MTTR_15min</vt:lpstr>
      <vt:lpstr>settings!MTTR_1h</vt:lpstr>
      <vt:lpstr>settings!MTTR_1min</vt:lpstr>
      <vt:lpstr>settings!MTTR_2min</vt:lpstr>
      <vt:lpstr>settings!MTTR_3min</vt:lpstr>
      <vt:lpstr>settings!MTTR_3sec</vt:lpstr>
      <vt:lpstr>settings!MTTR_4h</vt:lpstr>
      <vt:lpstr>settings!MTTR_5min</vt:lpstr>
      <vt:lpstr>settings!MTTR_8h</vt:lpstr>
      <vt:lpstr>settings!nano</vt:lpstr>
      <vt:lpstr>settings!secs_per_year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MOSER Florian</dc:creator>
  <cp:lastModifiedBy>MOSER Florian</cp:lastModifiedBy>
  <dcterms:created xsi:type="dcterms:W3CDTF">2026-09-30T14:02:14Z</dcterms:created>
  <dcterms:modified xsi:type="dcterms:W3CDTF">2026-10-01T10:55:02Z</dcterms:modified>
</cp:coreProperties>
</file>