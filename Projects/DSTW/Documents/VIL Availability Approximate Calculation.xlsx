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defaultThemeVersion="202300"/>
  <mc:AlternateContent xmlns:mc="http://schemas.openxmlformats.org/markup-compatibility/2006">
    <mc:Choice Requires="x15">
      <x15ac:absPath xmlns:x15ac="http://schemas.microsoft.com/office/spreadsheetml/2010/11/ac" url="https://hitachigroupeur-my.sharepoint.com/personal/florian_moser_gts_hitachirail_com/Documents/RAM-Assurance/RAM-Assurance-1/Projects/DSTW/Documents/"/>
    </mc:Choice>
  </mc:AlternateContent>
  <xr:revisionPtr revIDLastSave="0" documentId="8_{D0A38253-6013-4FE6-BE66-FA4A485B30A5}" xr6:coauthVersionLast="47" xr6:coauthVersionMax="47" xr10:uidLastSave="{00000000-0000-0000-0000-000000000000}"/>
  <bookViews>
    <workbookView xWindow="-108" yWindow="-108" windowWidth="23256" windowHeight="13896" activeTab="1" xr2:uid="{D1310438-B425-47AA-82F0-C63A7B0004E9}"/>
  </bookViews>
  <sheets>
    <sheet name="Assumed topology (basic red)" sheetId="2" r:id="rId1"/>
    <sheet name="Approx. availability" sheetId="1" r:id="rId2"/>
    <sheet name="settings" sheetId="3" r:id="rId3"/>
  </sheets>
  <definedNames>
    <definedName name="hours_per_year">settings!$B$1</definedName>
    <definedName name="min_per_year">settings!$B$2</definedName>
    <definedName name="nano">settings!$B$4</definedName>
    <definedName name="secs_per_year">settings!$B$3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69" i="1" l="1"/>
  <c r="F69" i="1"/>
  <c r="C69" i="1"/>
  <c r="B69" i="1"/>
  <c r="H5" i="1"/>
  <c r="H12" i="1" s="1"/>
  <c r="H13" i="1" s="1"/>
  <c r="G5" i="1"/>
  <c r="G12" i="1" s="1"/>
  <c r="G13" i="1" s="1"/>
  <c r="B48" i="1"/>
  <c r="B3" i="3"/>
  <c r="B2" i="3"/>
  <c r="B1" i="3"/>
  <c r="E5" i="1"/>
  <c r="E12" i="1" s="1"/>
  <c r="E13" i="1" s="1"/>
  <c r="D5" i="1"/>
  <c r="D12" i="1" s="1"/>
  <c r="D13" i="1" s="1"/>
  <c r="C5" i="1"/>
  <c r="G71" i="1" l="1"/>
  <c r="F71" i="1"/>
  <c r="B71" i="1"/>
  <c r="C71" i="1"/>
  <c r="C8" i="1"/>
  <c r="C9" i="1" s="1"/>
  <c r="C12" i="1"/>
  <c r="C48" i="1"/>
  <c r="E48" i="1"/>
  <c r="D48" i="1"/>
  <c r="D8" i="1"/>
  <c r="B33" i="1"/>
  <c r="E8" i="1"/>
  <c r="E9" i="1" s="1"/>
  <c r="B34" i="1"/>
  <c r="C34" i="1" s="1"/>
  <c r="F5" i="1"/>
  <c r="D16" i="1"/>
  <c r="E17" i="1"/>
  <c r="I17" i="1" s="1"/>
  <c r="H71" i="1" l="1"/>
  <c r="D71" i="1"/>
  <c r="C13" i="1"/>
  <c r="I13" i="1" s="1"/>
  <c r="I12" i="1"/>
  <c r="E33" i="1"/>
  <c r="D33" i="1"/>
  <c r="C33" i="1"/>
  <c r="D9" i="1"/>
  <c r="I9" i="1" s="1"/>
  <c r="B40" i="1" s="1"/>
  <c r="D40" i="1" s="1"/>
  <c r="I8" i="1"/>
  <c r="E34" i="1"/>
  <c r="D34" i="1"/>
  <c r="I16" i="1"/>
  <c r="B35" i="1"/>
  <c r="F19" i="1"/>
  <c r="I19" i="1" s="1"/>
  <c r="F18" i="1"/>
  <c r="I18" i="1" s="1"/>
  <c r="B73" i="1" l="1"/>
  <c r="B74" i="1"/>
  <c r="B83" i="1" s="1"/>
  <c r="B90" i="1" s="1"/>
  <c r="C90" i="1" s="1"/>
  <c r="J14" i="1"/>
  <c r="C40" i="1"/>
  <c r="E40" i="1"/>
  <c r="B39" i="1"/>
  <c r="J10" i="1"/>
  <c r="C35" i="1"/>
  <c r="D35" i="1"/>
  <c r="E35" i="1"/>
  <c r="J20" i="1"/>
  <c r="B75" i="1" l="1"/>
  <c r="B77" i="1"/>
  <c r="B86" i="1" s="1"/>
  <c r="J24" i="1"/>
  <c r="B41" i="1"/>
  <c r="J22" i="1"/>
  <c r="D39" i="1"/>
  <c r="C39" i="1"/>
  <c r="E39" i="1"/>
  <c r="B42" i="1"/>
  <c r="B43" i="1" l="1"/>
  <c r="B89" i="1"/>
  <c r="B94" i="1" s="1"/>
  <c r="B91" i="1" s="1"/>
  <c r="C89" i="1"/>
  <c r="B84" i="1"/>
  <c r="B85" i="1"/>
  <c r="E41" i="1"/>
  <c r="C41" i="1"/>
  <c r="D41" i="1"/>
  <c r="C42" i="1"/>
  <c r="D42" i="1"/>
  <c r="E42" i="1"/>
  <c r="C43" i="1" l="1"/>
  <c r="D43" i="1"/>
  <c r="E43" i="1"/>
  <c r="B95" i="1"/>
  <c r="B96" i="1" s="1"/>
  <c r="B97" i="1"/>
  <c r="C9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tc={771A13AA-63B0-4ED4-98EC-E70C0666EFD2}</author>
    <author>tc={269E6264-56BC-40D7-89FC-C4A85FF13322}</author>
  </authors>
  <commentList>
    <comment ref="B3" authorId="0" shapeId="0" xr:uid="{771A13AA-63B0-4ED4-98EC-E70C0666EFD2}">
      <text>
        <t>[Threaded comment]
Your version of Excel allows you to read this threaded comment; however, any edits to it will get removed if the file is opened in a newer version of Excel. Learn more: https://go.microsoft.com/fwlink/?linkid=870924
Comment:
    Taken from Florian‘s estimation sheet + assumption that CR‘s MTBF is equal to ToR</t>
      </text>
    </comment>
    <comment ref="B4" authorId="1" shapeId="0" xr:uid="{269E6264-56BC-40D7-89FC-C4A85FF13322}">
      <text>
        <t>[Threaded comment]
Your version of Excel allows you to read this threaded comment; however, any edits to it will get removed if the file is opened in a newer version of Excel. Learn more: https://go.microsoft.com/fwlink/?linkid=870924
Comment:
    Initial assumptions, to be updated</t>
      </text>
    </comment>
  </commentList>
</comments>
</file>

<file path=xl/sharedStrings.xml><?xml version="1.0" encoding="utf-8"?>
<sst xmlns="http://schemas.openxmlformats.org/spreadsheetml/2006/main" count="112" uniqueCount="94">
  <si>
    <t>Service via "blue" channels fails if:</t>
  </si>
  <si>
    <t>Service via "red" channels fails if:</t>
  </si>
  <si>
    <t>!CE10 or !CE11 or !ToR22 or !CR2</t>
  </si>
  <si>
    <t>Core Router</t>
  </si>
  <si>
    <t>Switch</t>
  </si>
  <si>
    <t>Server</t>
  </si>
  <si>
    <t>MTBF [h]</t>
  </si>
  <si>
    <t>P_nonavailable</t>
  </si>
  <si>
    <t>Both crosswise ToRs down</t>
  </si>
  <si>
    <t>!ToR12 and !ToR21</t>
  </si>
  <si>
    <t>Both Core Routers down</t>
  </si>
  <si>
    <t>!CR1 and !CR2</t>
  </si>
  <si>
    <t>CR and Switch</t>
  </si>
  <si>
    <t>"Red" CR and crosswise ToR down</t>
  </si>
  <si>
    <t>!CR1 and !ToR12</t>
  </si>
  <si>
    <t>!CR2 and !ToR21</t>
  </si>
  <si>
    <t>"Blue" CR and crosswise ToR down</t>
  </si>
  <si>
    <t>Failure type</t>
  </si>
  <si>
    <t>TOTAL non-availability</t>
  </si>
  <si>
    <t>Non-avail per subcondition</t>
  </si>
  <si>
    <t>Subconditions</t>
  </si>
  <si>
    <t>any of above conditions</t>
  </si>
  <si>
    <t>both "red" and "blue" fail</t>
  </si>
  <si>
    <t xml:space="preserve">MTTR [h] </t>
  </si>
  <si>
    <t>Both CNs down = both of...</t>
  </si>
  <si>
    <t>Loss of synchronization = any of ...</t>
  </si>
  <si>
    <t>Non-avail per failure type</t>
  </si>
  <si>
    <t>!CE00 or !CE01 or !ToR11 or !CR1</t>
  </si>
  <si>
    <t>According to the current VIL architecture, the crosswise links between CR and ToR (drawn in gray colour) operationally are only relevant for the sync layer but not for the external interfaces (no RaSTA redundant channel going accross these links).</t>
  </si>
  <si>
    <t>Not considered here:
+ FES / OC availability
+ Common cause failures such as power outage, failure of OpenStack functions, OBB network, synchronization etc.
+ Possible impact of control and storage servers</t>
  </si>
  <si>
    <t>hours_per_year</t>
  </si>
  <si>
    <t>min_per_year</t>
  </si>
  <si>
    <t>secs_per_year</t>
  </si>
  <si>
    <t>nano</t>
  </si>
  <si>
    <t>Condition</t>
  </si>
  <si>
    <t>Unavailability</t>
  </si>
  <si>
    <t>Downtime  h/year</t>
  </si>
  <si>
    <t>Downtime min/year</t>
  </si>
  <si>
    <t>Downtime sec/year</t>
  </si>
  <si>
    <t>One Switch</t>
  </si>
  <si>
    <t>One Core Router</t>
  </si>
  <si>
    <t>Both simulaneously</t>
  </si>
  <si>
    <t>Service via red channels fails</t>
  </si>
  <si>
    <t>Service via blue channels fails</t>
  </si>
  <si>
    <t>Both red and blue fail</t>
  </si>
  <si>
    <t>Loss of synchronization</t>
  </si>
  <si>
    <t>Etwa die Hälfte der berechneten Nichtverfügbarkeit entsteht durch Hardwarefehler, die zum Verlust der Synchronisation führen, während die andere Hälfte durch Hardwarefehler entsteht, die gleichzeitig beide redundanten Servicepfade außer Betrieb setzen</t>
  </si>
  <si>
    <t>RAM update, 23.10.2026</t>
  </si>
  <si>
    <t>Nichtverfügbarkeit kann auch dadurch entstehen, dass die beiden CNs laufen aber nicht synchronisiert sind</t>
  </si>
  <si>
    <t>Jeder Kommunikationspfad für sich hat eine Nichtverfügbarkeit von ungefähr 2 Stunden pro Jahr. Aufgrund der Redundanz reduziert sich die daraus resultierende Service-Unterbrechung auf lediglich etwa 1,9 Sekunden pro Jahr, da ein Serviceausfall nur eintritt, wenn beide Pfade gleichzeitig nicht verfügbar sind.</t>
  </si>
  <si>
    <t>EL4-DIL-SSS-REQ-00587 - The [VIL-Instance] shall have a class 2 overall availability of at least 0,99995.</t>
  </si>
  <si>
    <t>Availability</t>
  </si>
  <si>
    <t>Missing:</t>
  </si>
  <si>
    <t>Control Server</t>
  </si>
  <si>
    <t>Führt ein Hardware-Ausfall eines Control Servers zum Ausfall einer oder mehrerer VIL-Komponenten?</t>
  </si>
  <si>
    <t>Storage Server</t>
  </si>
  <si>
    <t>Führt ein Hardware-Ausfall eines Storage Servers zum Ausfall einer oder mehrerer VIL-Komponenten?</t>
  </si>
  <si>
    <t>!CE00 or !CE01 or !Storage or !Control or !ToR11 or !CR1</t>
  </si>
  <si>
    <t>!CE10 or !CE11 or !Storage or !Control or !ToR22 or !CR2</t>
  </si>
  <si>
    <t>TOTAL non-availability (including Storage and Control Server)</t>
  </si>
  <si>
    <t>1) Obere Berechnung bezieht sich auf Nichtverfügbarkeit aufgrund von Hardware-Ausfällen der Kommunikationsinfrastruktur, beschreibt Verfügbarkeit der Infrastrukturverbindungen</t>
  </si>
  <si>
    <t>CN0 = 2oo2-System (CE00 + CE01)</t>
  </si>
  <si>
    <t>CN1 = 2oo2-System (CE10 + CE11)</t>
  </si>
  <si>
    <t>VIL = 1oo2 aus Availability-Sicht</t>
  </si>
  <si>
    <t>2) 2×2oo2 Hot-Hot Modell --&gt; betrachtet die eigentliche Verfügbarkeit der VIL-Rechenarchitektur:  (Q≈2⋅λ2⋅MTTR)</t>
  </si>
  <si>
    <t>Wie wahrscheinlich ist es, dass beide redundanten 2oo2-Systeme gleichzeitig nicht verfügbar sind?</t>
  </si>
  <si>
    <t>Ein VIL-Ausfall kann entstehen durch:</t>
  </si>
  <si>
    <t>1. Verlust der Kommunikations- bzw. Synchronisationsinfrastruktur</t>
  </si>
  <si>
    <t>2. Gleichzeitigen Verlust beider redundanter 2oo2-Systeme</t>
  </si>
  <si>
    <t>MTBF</t>
  </si>
  <si>
    <t>MTTR</t>
  </si>
  <si>
    <t>λ = 1/MTBF</t>
  </si>
  <si>
    <t>CE00</t>
  </si>
  <si>
    <t>CE01</t>
  </si>
  <si>
    <t>CN0</t>
  </si>
  <si>
    <t>CE10</t>
  </si>
  <si>
    <t>CE11</t>
  </si>
  <si>
    <t>CN1</t>
  </si>
  <si>
    <t>λ²</t>
  </si>
  <si>
    <t>Q=2⋅λ2⋅MTTR</t>
  </si>
  <si>
    <t>Availability 1-Q</t>
  </si>
  <si>
    <t>Unavailability Q</t>
  </si>
  <si>
    <t>Availability A</t>
  </si>
  <si>
    <t>Availability [%]</t>
  </si>
  <si>
    <t>Downtime/Jahr/sec</t>
  </si>
  <si>
    <t>2×2oo2-Hot-Hot-Rechnerarchitektur Zusammenfassung</t>
  </si>
  <si>
    <t>Netzwerk</t>
  </si>
  <si>
    <t>2x2oo2 Hot-Hot</t>
  </si>
  <si>
    <t>Unverfügbarkeit</t>
  </si>
  <si>
    <t>Downtime Jahr/sec</t>
  </si>
  <si>
    <t>Die Gesamtunverfügbarkeit der VIL-Instanz ergibt sich aus der Kombination beider Ausfallmechanismen.</t>
  </si>
  <si>
    <t>Qtotal​≈QNetwork​+Q2x2oo2​</t>
  </si>
  <si>
    <t>Availability_total</t>
  </si>
  <si>
    <t>Gesamt 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</si>
</sst>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
    <numFmt numFmtId="165" formatCode="0.0000"/>
    <numFmt numFmtId="166" formatCode="0.###\ ###\ ###\ ###"/>
    <numFmt numFmtId="167" formatCode="0.00000E+00"/>
    <numFmt numFmtId="168" formatCode="0.0000E+00"/>
    <numFmt numFmtId="169" formatCode="0.000E+00"/>
    <numFmt numFmtId="170" formatCode="0.000000000000"/>
    <numFmt numFmtId="171" formatCode="0.000000"/>
    <numFmt numFmtId="172" formatCode="0.000000000%"/>
    <numFmt numFmtId="173" formatCode="0.00000"/>
  </numFmts>
  <fonts count="9">
    <font>
      <sz val="11"/>
      <color theme="1"/>
      <name val="Aptos Narrow"/>
      <family val="2"/>
      <scheme val="minor"/>
    </font>
    <font>
      <sz val="10"/>
      <name val="Arial"/>
      <family val="2"/>
    </font>
    <font>
      <sz val="10"/>
      <name val="Arial"/>
      <family val="2"/>
    </font>
    <font>
      <sz val="11"/>
      <name val="FuturaA Bk BT"/>
    </font>
    <font>
      <sz val="9"/>
      <color theme="1"/>
      <name val="Arial"/>
      <family val="2"/>
    </font>
    <font>
      <sz val="11"/>
      <color theme="1"/>
      <name val="Arial"/>
      <family val="2"/>
    </font>
    <font>
      <b/>
      <sz val="11"/>
      <color theme="1"/>
      <name val="Aptos Narrow"/>
      <family val="2"/>
      <scheme val="minor"/>
    </font>
    <font>
      <sz val="11"/>
      <name val="Arial"/>
      <family val="2"/>
    </font>
    <font>
      <sz val="11"/>
      <color rgb="FF9C0006"/>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rgb="FFFFC7CE"/>
      </patternFill>
    </fill>
  </fills>
  <borders count="1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rgb="FFE6E6E6"/>
      </left>
      <right style="thin">
        <color indexed="64"/>
      </right>
      <top style="medium">
        <color rgb="FFE6E6E6"/>
      </top>
      <bottom style="medium">
        <color rgb="FFE6E6E6"/>
      </bottom>
      <diagonal/>
    </border>
  </borders>
  <cellStyleXfs count="7">
    <xf numFmtId="0" fontId="0" fillId="0" borderId="0"/>
    <xf numFmtId="0" fontId="1" fillId="0" borderId="0"/>
    <xf numFmtId="0" fontId="3" fillId="0" borderId="0"/>
    <xf numFmtId="0" fontId="2" fillId="0" borderId="0"/>
    <xf numFmtId="0" fontId="2" fillId="0" borderId="0"/>
    <xf numFmtId="0" fontId="5" fillId="0" borderId="0"/>
    <xf numFmtId="0" fontId="8" fillId="7" borderId="0" applyNumberFormat="0" applyBorder="0" applyAlignment="0" applyProtection="0"/>
  </cellStyleXfs>
  <cellXfs count="57">
    <xf numFmtId="0" fontId="0" fillId="0" borderId="0" xfId="0"/>
    <xf numFmtId="164" fontId="4" fillId="4" borderId="0" xfId="1" applyNumberFormat="1" applyFont="1" applyFill="1"/>
    <xf numFmtId="0" fontId="0" fillId="0" borderId="0" xfId="0" applyAlignment="1">
      <alignment wrapText="1"/>
    </xf>
    <xf numFmtId="0" fontId="0" fillId="5" borderId="0" xfId="0" applyFill="1"/>
    <xf numFmtId="0" fontId="0" fillId="4" borderId="0" xfId="0" applyFill="1"/>
    <xf numFmtId="0" fontId="7" fillId="0" borderId="0" xfId="0" applyFont="1"/>
    <xf numFmtId="165" fontId="0" fillId="0" borderId="0" xfId="0" applyNumberFormat="1"/>
    <xf numFmtId="166" fontId="7" fillId="0" borderId="0" xfId="0" applyNumberFormat="1" applyFont="1" applyAlignment="1">
      <alignment horizontal="left"/>
    </xf>
    <xf numFmtId="11" fontId="0" fillId="0" borderId="0" xfId="0" applyNumberFormat="1"/>
    <xf numFmtId="167" fontId="0" fillId="0" borderId="0" xfId="0" applyNumberFormat="1"/>
    <xf numFmtId="2" fontId="0" fillId="0" borderId="0" xfId="0" applyNumberFormat="1"/>
    <xf numFmtId="168" fontId="0" fillId="0" borderId="0" xfId="0" applyNumberFormat="1"/>
    <xf numFmtId="2" fontId="0" fillId="3" borderId="0" xfId="0" applyNumberFormat="1" applyFill="1"/>
    <xf numFmtId="0" fontId="6" fillId="6" borderId="0" xfId="0" applyFont="1" applyFill="1" applyAlignment="1">
      <alignment horizontal="center"/>
    </xf>
    <xf numFmtId="0" fontId="8" fillId="7" borderId="0" xfId="6" applyAlignment="1">
      <alignment horizontal="center"/>
    </xf>
    <xf numFmtId="164" fontId="4" fillId="6" borderId="0" xfId="1" applyNumberFormat="1" applyFont="1" applyFill="1"/>
    <xf numFmtId="0" fontId="0" fillId="6" borderId="0" xfId="0" applyFill="1"/>
    <xf numFmtId="0" fontId="0" fillId="6" borderId="1" xfId="0" applyFill="1" applyBorder="1"/>
    <xf numFmtId="0" fontId="0" fillId="6" borderId="2" xfId="0" applyFill="1" applyBorder="1"/>
    <xf numFmtId="0" fontId="0" fillId="2" borderId="3" xfId="0" applyFill="1" applyBorder="1"/>
    <xf numFmtId="0" fontId="0" fillId="2" borderId="4" xfId="0" applyFill="1" applyBorder="1"/>
    <xf numFmtId="0" fontId="0" fillId="6" borderId="5" xfId="0" applyFill="1" applyBorder="1"/>
    <xf numFmtId="0" fontId="0" fillId="3" borderId="7" xfId="0" applyFill="1" applyBorder="1"/>
    <xf numFmtId="0" fontId="0" fillId="0" borderId="8" xfId="0" applyBorder="1"/>
    <xf numFmtId="0" fontId="0" fillId="0" borderId="9"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2" borderId="1" xfId="0" applyFill="1" applyBorder="1"/>
    <xf numFmtId="167" fontId="0" fillId="6" borderId="0" xfId="0" applyNumberFormat="1" applyFill="1"/>
    <xf numFmtId="164" fontId="0" fillId="0" borderId="6" xfId="0" applyNumberFormat="1" applyBorder="1"/>
    <xf numFmtId="0" fontId="0" fillId="0" borderId="6" xfId="0" applyBorder="1"/>
    <xf numFmtId="11" fontId="0" fillId="0" borderId="6" xfId="0" applyNumberFormat="1" applyBorder="1"/>
    <xf numFmtId="0" fontId="0" fillId="6" borderId="6" xfId="0" applyFill="1" applyBorder="1" applyAlignment="1">
      <alignment horizontal="center"/>
    </xf>
    <xf numFmtId="170" fontId="0" fillId="0" borderId="0" xfId="0" applyNumberFormat="1"/>
    <xf numFmtId="171" fontId="0" fillId="0" borderId="0" xfId="0" applyNumberFormat="1"/>
    <xf numFmtId="0" fontId="6" fillId="0" borderId="0" xfId="0" applyFont="1"/>
    <xf numFmtId="11" fontId="0" fillId="0" borderId="2" xfId="0" applyNumberFormat="1" applyBorder="1"/>
    <xf numFmtId="170" fontId="0" fillId="0" borderId="2" xfId="0" applyNumberFormat="1" applyBorder="1"/>
    <xf numFmtId="172" fontId="0" fillId="0" borderId="10" xfId="0" applyNumberFormat="1" applyBorder="1" applyAlignment="1">
      <alignment vertical="center" wrapText="1"/>
    </xf>
    <xf numFmtId="173" fontId="0" fillId="0" borderId="5" xfId="0" applyNumberFormat="1" applyBorder="1"/>
    <xf numFmtId="173" fontId="0" fillId="0" borderId="0" xfId="0" applyNumberFormat="1"/>
    <xf numFmtId="0" fontId="0" fillId="0" borderId="7" xfId="0" applyBorder="1"/>
    <xf numFmtId="2" fontId="0" fillId="0" borderId="2" xfId="0" applyNumberFormat="1" applyBorder="1"/>
    <xf numFmtId="169" fontId="0" fillId="0" borderId="0" xfId="0" applyNumberFormat="1"/>
    <xf numFmtId="0" fontId="6" fillId="6" borderId="8" xfId="0" applyFont="1" applyFill="1" applyBorder="1" applyAlignment="1">
      <alignment horizontal="center"/>
    </xf>
    <xf numFmtId="0" fontId="6" fillId="6" borderId="9" xfId="0" applyFont="1" applyFill="1" applyBorder="1" applyAlignment="1">
      <alignment horizontal="center"/>
    </xf>
    <xf numFmtId="172" fontId="0" fillId="0" borderId="0" xfId="0" applyNumberFormat="1" applyAlignment="1">
      <alignment vertical="center" wrapText="1"/>
    </xf>
    <xf numFmtId="173" fontId="0" fillId="0" borderId="2" xfId="0" applyNumberFormat="1" applyBorder="1"/>
    <xf numFmtId="169" fontId="6" fillId="6" borderId="4" xfId="0" applyNumberFormat="1" applyFont="1" applyFill="1" applyBorder="1"/>
    <xf numFmtId="173" fontId="6" fillId="6" borderId="5" xfId="0" applyNumberFormat="1" applyFont="1" applyFill="1" applyBorder="1"/>
    <xf numFmtId="0" fontId="6" fillId="6" borderId="7" xfId="0" applyFont="1" applyFill="1" applyBorder="1" applyAlignment="1">
      <alignment horizontal="center" vertical="center"/>
    </xf>
    <xf numFmtId="0" fontId="6" fillId="6" borderId="9"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2" xfId="0" applyFont="1" applyFill="1" applyBorder="1" applyAlignment="1">
      <alignment horizontal="center" vertical="center"/>
    </xf>
  </cellXfs>
  <cellStyles count="7">
    <cellStyle name="Bad" xfId="6" builtinId="27"/>
    <cellStyle name="Normal" xfId="0" builtinId="0"/>
    <cellStyle name="Normal 2" xfId="4" xr:uid="{FB1ABC4B-6FFF-425D-AE65-87E1E5918A6F}"/>
    <cellStyle name="Normal 2 2" xfId="2" xr:uid="{0A179E15-F3BE-4ADC-8F3C-AB7C2A1D30E1}"/>
    <cellStyle name="Normal 3" xfId="5" xr:uid="{2ADF0B1C-9B2D-4F35-B4AC-6FCB737A0769}"/>
    <cellStyle name="Normal 3 2" xfId="3" xr:uid="{958F8B41-C39E-4061-8D9A-DF160B51D4CE}"/>
    <cellStyle name="Normal 4" xfId="1" xr:uid="{B995DCB5-38DC-4D0D-8620-7712C0BADC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11</xdr:col>
      <xdr:colOff>88729</xdr:colOff>
      <xdr:row>28</xdr:row>
      <xdr:rowOff>45081</xdr:rowOff>
    </xdr:to>
    <xdr:pic>
      <xdr:nvPicPr>
        <xdr:cNvPr id="3" name="Picture 2">
          <a:extLst>
            <a:ext uri="{FF2B5EF4-FFF2-40B4-BE49-F238E27FC236}">
              <a16:creationId xmlns:a16="http://schemas.microsoft.com/office/drawing/2014/main" id="{C45C9E5D-9128-D9F9-830D-08757632B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571500"/>
          <a:ext cx="6184729" cy="5569581"/>
        </a:xfrm>
        <a:prstGeom prst="rect">
          <a:avLst/>
        </a:prstGeom>
        <a:solidFill>
          <a:schemeClr val="bg1"/>
        </a:solidFill>
      </xdr:spPr>
    </xdr:pic>
    <xdr:clientData/>
  </xdr:twoCellAnchor>
</xdr:wsDr>
</file>

<file path=xl/persons/person.xml><?xml version="1.0" encoding="utf-8"?>
<personList xmlns="http://schemas.microsoft.com/office/spreadsheetml/2018/threadedcomments" xmlns:x="http://schemas.openxmlformats.org/spreadsheetml/2006/main">
  <person displayName="MACH Johannes" id="{75C73C9E-3EC0-4A71-952C-99C2EC2C3020}" userId="S::johannes.mach@gts.hitachirail.com::405f3436-d12b-4931-90aa-b557d22cab5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 dT="2026-10-22T14:38:15.52" personId="{75C73C9E-3EC0-4A71-952C-99C2EC2C3020}" id="{771A13AA-63B0-4ED4-98EC-E70C0666EFD2}">
    <text>Taken from Florian‘s estimation sheet + assumption that CR‘s MTBF is equal to ToR</text>
  </threadedComment>
  <threadedComment ref="B4" dT="2026-10-22T14:38:31.13" personId="{75C73C9E-3EC0-4A71-952C-99C2EC2C3020}" id="{269E6264-56BC-40D7-89FC-C4A85FF13322}">
    <text>Initial assumptions, to be updated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E5284-19A4-4B0F-9870-7C9F03885A47}">
  <dimension ref="M16"/>
  <sheetViews>
    <sheetView workbookViewId="0"/>
  </sheetViews>
  <sheetFormatPr defaultRowHeight="14.4"/>
  <cols>
    <col min="13" max="13" width="57.88671875" style="2" customWidth="1"/>
  </cols>
  <sheetData>
    <row r="16" spans="13:13" ht="57.6">
      <c r="M16" s="2" t="s">
        <v>28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CDA0-6EDA-4869-B8BC-E967919F8451}">
  <dimension ref="A1:J97"/>
  <sheetViews>
    <sheetView tabSelected="1" topLeftCell="A34" workbookViewId="0">
      <selection activeCell="A57" sqref="A57:H98"/>
    </sheetView>
  </sheetViews>
  <sheetFormatPr defaultRowHeight="14.4"/>
  <cols>
    <col min="1" max="1" width="34.44140625" customWidth="1"/>
    <col min="2" max="2" width="30.88671875" customWidth="1"/>
    <col min="3" max="3" width="27.5546875" customWidth="1"/>
    <col min="4" max="4" width="22.5546875" customWidth="1"/>
    <col min="5" max="5" width="23.88671875" customWidth="1"/>
    <col min="6" max="8" width="25.44140625" customWidth="1"/>
    <col min="9" max="9" width="28.33203125" customWidth="1"/>
    <col min="10" max="10" width="24" customWidth="1"/>
    <col min="11" max="11" width="26" customWidth="1"/>
    <col min="12" max="12" width="20.109375" customWidth="1"/>
    <col min="13" max="13" width="32.33203125" customWidth="1"/>
  </cols>
  <sheetData>
    <row r="1" spans="1:10" ht="18" customHeight="1"/>
    <row r="2" spans="1:10">
      <c r="A2" t="s">
        <v>17</v>
      </c>
      <c r="B2" t="s">
        <v>20</v>
      </c>
      <c r="C2" t="s">
        <v>5</v>
      </c>
      <c r="D2" t="s">
        <v>4</v>
      </c>
      <c r="E2" t="s">
        <v>3</v>
      </c>
      <c r="F2" t="s">
        <v>12</v>
      </c>
      <c r="G2" t="s">
        <v>55</v>
      </c>
      <c r="H2" t="s">
        <v>53</v>
      </c>
      <c r="I2" t="s">
        <v>19</v>
      </c>
      <c r="J2" t="s">
        <v>26</v>
      </c>
    </row>
    <row r="3" spans="1:10">
      <c r="B3" s="4" t="s">
        <v>6</v>
      </c>
      <c r="C3" s="1">
        <v>236127.50885478157</v>
      </c>
      <c r="D3" s="1">
        <v>103885.31061707874</v>
      </c>
      <c r="E3" s="1">
        <v>103885.31061707874</v>
      </c>
      <c r="F3" s="4"/>
      <c r="G3" s="15">
        <v>236127.50885478157</v>
      </c>
      <c r="H3" s="15">
        <v>236127.50885478157</v>
      </c>
    </row>
    <row r="4" spans="1:10">
      <c r="B4" s="4" t="s">
        <v>23</v>
      </c>
      <c r="C4" s="3">
        <v>1</v>
      </c>
      <c r="D4" s="3">
        <v>12</v>
      </c>
      <c r="E4" s="3">
        <v>12</v>
      </c>
      <c r="F4" s="4"/>
      <c r="G4" s="16">
        <v>1</v>
      </c>
      <c r="H4" s="16">
        <v>1</v>
      </c>
    </row>
    <row r="5" spans="1:10">
      <c r="B5" s="4" t="s">
        <v>7</v>
      </c>
      <c r="C5" s="4">
        <f>1-C3/(C3+C4)</f>
        <v>4.234982064810211E-6</v>
      </c>
      <c r="D5" s="4">
        <f>1-D3/(D3+D4)</f>
        <v>1.1549865851900876E-4</v>
      </c>
      <c r="E5" s="4">
        <f>1-E3/(E3+E4)</f>
        <v>1.1549865851900876E-4</v>
      </c>
      <c r="F5" s="4">
        <f>D5*E5</f>
        <v>1.3339940119690594E-8</v>
      </c>
      <c r="G5" s="16">
        <f>1-G3/(G3+G4)</f>
        <v>4.234982064810211E-6</v>
      </c>
      <c r="H5" s="16">
        <f>1-H3/(H3+H4)</f>
        <v>4.234982064810211E-6</v>
      </c>
    </row>
    <row r="7" spans="1:10">
      <c r="A7" s="22" t="s">
        <v>24</v>
      </c>
      <c r="B7" s="23"/>
      <c r="C7" s="23"/>
      <c r="D7" s="23"/>
      <c r="E7" s="23"/>
      <c r="F7" s="23"/>
      <c r="G7" s="23"/>
      <c r="H7" s="23"/>
      <c r="I7" s="23"/>
      <c r="J7" s="24"/>
    </row>
    <row r="8" spans="1:10">
      <c r="A8" s="25" t="s">
        <v>1</v>
      </c>
      <c r="B8" t="s">
        <v>27</v>
      </c>
      <c r="C8">
        <f>2*C5</f>
        <v>8.469964129620422E-6</v>
      </c>
      <c r="D8">
        <f>D5</f>
        <v>1.1549865851900876E-4</v>
      </c>
      <c r="E8">
        <f>E5</f>
        <v>1.1549865851900876E-4</v>
      </c>
      <c r="I8">
        <f>C8+D8+E8</f>
        <v>2.3946728116763794E-4</v>
      </c>
      <c r="J8" s="26"/>
    </row>
    <row r="9" spans="1:10">
      <c r="A9" s="25" t="s">
        <v>0</v>
      </c>
      <c r="B9" t="s">
        <v>2</v>
      </c>
      <c r="C9">
        <f>2*C8</f>
        <v>1.6939928259240844E-5</v>
      </c>
      <c r="D9">
        <f>D8</f>
        <v>1.1549865851900876E-4</v>
      </c>
      <c r="E9">
        <f>E8</f>
        <v>1.1549865851900876E-4</v>
      </c>
      <c r="I9">
        <f>C9+D9+E9</f>
        <v>2.4793724529725836E-4</v>
      </c>
      <c r="J9" s="26"/>
    </row>
    <row r="10" spans="1:10">
      <c r="A10" s="30" t="s">
        <v>22</v>
      </c>
      <c r="J10" s="26">
        <f>I8*I9</f>
        <v>5.937285803152818E-8</v>
      </c>
    </row>
    <row r="11" spans="1:10">
      <c r="A11" s="30"/>
      <c r="J11" s="26"/>
    </row>
    <row r="12" spans="1:10">
      <c r="A12" s="17" t="s">
        <v>1</v>
      </c>
      <c r="B12" s="16" t="s">
        <v>57</v>
      </c>
      <c r="C12" s="16">
        <f>2*C5</f>
        <v>8.469964129620422E-6</v>
      </c>
      <c r="D12" s="31">
        <f>D5</f>
        <v>1.1549865851900876E-4</v>
      </c>
      <c r="E12" s="31">
        <f>E5</f>
        <v>1.1549865851900876E-4</v>
      </c>
      <c r="F12" s="16"/>
      <c r="G12" s="16">
        <f>G5</f>
        <v>4.234982064810211E-6</v>
      </c>
      <c r="H12" s="16">
        <f>H5</f>
        <v>4.234982064810211E-6</v>
      </c>
      <c r="I12" s="31">
        <f>C12+D12+E12+G12+H12</f>
        <v>2.4793724529725836E-4</v>
      </c>
      <c r="J12" s="18"/>
    </row>
    <row r="13" spans="1:10">
      <c r="A13" s="17" t="s">
        <v>0</v>
      </c>
      <c r="B13" s="16" t="s">
        <v>58</v>
      </c>
      <c r="C13" s="16">
        <f>2*C12</f>
        <v>1.6939928259240844E-5</v>
      </c>
      <c r="D13" s="31">
        <f>D12</f>
        <v>1.1549865851900876E-4</v>
      </c>
      <c r="E13" s="31">
        <f>E12</f>
        <v>1.1549865851900876E-4</v>
      </c>
      <c r="F13" s="16"/>
      <c r="G13" s="31">
        <f>G12</f>
        <v>4.234982064810211E-6</v>
      </c>
      <c r="H13" s="31">
        <f>H12</f>
        <v>4.234982064810211E-6</v>
      </c>
      <c r="I13" s="31">
        <f>C13+D13+E13+G13+H13</f>
        <v>2.5640720942687878E-4</v>
      </c>
      <c r="J13" s="18"/>
    </row>
    <row r="14" spans="1:10">
      <c r="A14" s="19"/>
      <c r="B14" s="20"/>
      <c r="C14" s="20"/>
      <c r="D14" s="20"/>
      <c r="E14" s="20"/>
      <c r="F14" s="20"/>
      <c r="G14" s="20"/>
      <c r="H14" s="20"/>
      <c r="I14" s="20"/>
      <c r="J14" s="21">
        <f>I12*I13</f>
        <v>6.3572897179657534E-8</v>
      </c>
    </row>
    <row r="15" spans="1:10">
      <c r="A15" s="22" t="s">
        <v>25</v>
      </c>
      <c r="B15" s="23"/>
      <c r="C15" s="23"/>
      <c r="D15" s="23"/>
      <c r="E15" s="23"/>
      <c r="F15" s="23"/>
      <c r="G15" s="23"/>
      <c r="H15" s="23"/>
      <c r="I15" s="23"/>
      <c r="J15" s="24"/>
    </row>
    <row r="16" spans="1:10">
      <c r="A16" s="25" t="s">
        <v>8</v>
      </c>
      <c r="B16" t="s">
        <v>9</v>
      </c>
      <c r="D16">
        <f>D5*D5</f>
        <v>1.3339940119690594E-8</v>
      </c>
      <c r="I16">
        <f>C16+D16+E16</f>
        <v>1.3339940119690594E-8</v>
      </c>
      <c r="J16" s="26"/>
    </row>
    <row r="17" spans="1:10">
      <c r="A17" s="25" t="s">
        <v>10</v>
      </c>
      <c r="B17" t="s">
        <v>11</v>
      </c>
      <c r="E17">
        <f>E5*E5</f>
        <v>1.3339940119690594E-8</v>
      </c>
      <c r="I17">
        <f>C17+D17+E17</f>
        <v>1.3339940119690594E-8</v>
      </c>
      <c r="J17" s="26"/>
    </row>
    <row r="18" spans="1:10">
      <c r="A18" s="25" t="s">
        <v>13</v>
      </c>
      <c r="B18" t="s">
        <v>14</v>
      </c>
      <c r="F18">
        <f>F5</f>
        <v>1.3339940119690594E-8</v>
      </c>
      <c r="I18">
        <f>F18</f>
        <v>1.3339940119690594E-8</v>
      </c>
      <c r="J18" s="26"/>
    </row>
    <row r="19" spans="1:10">
      <c r="A19" s="25" t="s">
        <v>16</v>
      </c>
      <c r="B19" t="s">
        <v>15</v>
      </c>
      <c r="F19">
        <f>F5</f>
        <v>1.3339940119690594E-8</v>
      </c>
      <c r="I19">
        <f>F19</f>
        <v>1.3339940119690594E-8</v>
      </c>
      <c r="J19" s="26"/>
    </row>
    <row r="20" spans="1:10">
      <c r="A20" s="27" t="s">
        <v>21</v>
      </c>
      <c r="B20" s="28"/>
      <c r="C20" s="28"/>
      <c r="D20" s="28"/>
      <c r="E20" s="28"/>
      <c r="F20" s="28"/>
      <c r="G20" s="28"/>
      <c r="H20" s="28"/>
      <c r="I20" s="28"/>
      <c r="J20" s="29">
        <f>SUM(I16:I19)</f>
        <v>5.3359760478762377E-8</v>
      </c>
    </row>
    <row r="22" spans="1:10">
      <c r="A22" t="s">
        <v>18</v>
      </c>
      <c r="J22" s="4">
        <f>J10+J20</f>
        <v>1.1273261851029055E-7</v>
      </c>
    </row>
    <row r="24" spans="1:10">
      <c r="A24" s="16" t="s">
        <v>59</v>
      </c>
      <c r="B24" s="16"/>
      <c r="C24" s="16"/>
      <c r="D24" s="16"/>
      <c r="E24" s="16"/>
      <c r="F24" s="16"/>
      <c r="G24" s="16"/>
      <c r="H24" s="16"/>
      <c r="I24" s="16"/>
      <c r="J24" s="16">
        <f>J14+J20</f>
        <v>1.1693265765841992E-7</v>
      </c>
    </row>
    <row r="27" spans="1:10" ht="100.8">
      <c r="A27" s="2" t="s">
        <v>29</v>
      </c>
    </row>
    <row r="31" spans="1:10">
      <c r="A31" t="s">
        <v>47</v>
      </c>
    </row>
    <row r="32" spans="1:10">
      <c r="A32" s="13" t="s">
        <v>34</v>
      </c>
      <c r="B32" s="13" t="s">
        <v>35</v>
      </c>
      <c r="C32" s="13" t="s">
        <v>36</v>
      </c>
      <c r="D32" s="13" t="s">
        <v>37</v>
      </c>
      <c r="E32" s="13" t="s">
        <v>38</v>
      </c>
    </row>
    <row r="33" spans="1:9">
      <c r="A33" t="s">
        <v>39</v>
      </c>
      <c r="B33" s="9">
        <f>D5</f>
        <v>1.1549865851900876E-4</v>
      </c>
      <c r="C33" s="10">
        <f>hours_per_year*B33</f>
        <v>1.0117682486265167</v>
      </c>
      <c r="D33" s="10">
        <f>B33*min_per_year</f>
        <v>60.706094917591003</v>
      </c>
      <c r="E33" s="10">
        <f>B33*secs_per_year</f>
        <v>3642.36569505546</v>
      </c>
      <c r="I33" t="s">
        <v>46</v>
      </c>
    </row>
    <row r="34" spans="1:9">
      <c r="A34" t="s">
        <v>40</v>
      </c>
      <c r="B34" s="9">
        <f>E5</f>
        <v>1.1549865851900876E-4</v>
      </c>
      <c r="C34" s="10">
        <f>hours_per_year*B34</f>
        <v>1.0117682486265167</v>
      </c>
      <c r="D34" s="10">
        <f>B34*min_per_year</f>
        <v>60.706094917591003</v>
      </c>
      <c r="E34" s="10">
        <f>B34*secs_per_year</f>
        <v>3642.36569505546</v>
      </c>
      <c r="I34" t="s">
        <v>48</v>
      </c>
    </row>
    <row r="35" spans="1:9">
      <c r="A35" t="s">
        <v>41</v>
      </c>
      <c r="B35" s="11">
        <f>D16</f>
        <v>1.3339940119690594E-8</v>
      </c>
      <c r="C35" s="10">
        <f>hours_per_year*B35</f>
        <v>1.168578754484896E-4</v>
      </c>
      <c r="D35" s="10">
        <f>B35*min_per_year</f>
        <v>7.0114725269093767E-3</v>
      </c>
      <c r="E35" s="10">
        <f>B35*secs_per_year</f>
        <v>0.42068835161456258</v>
      </c>
    </row>
    <row r="38" spans="1:9">
      <c r="A38" s="13" t="s">
        <v>34</v>
      </c>
      <c r="B38" s="13" t="s">
        <v>35</v>
      </c>
      <c r="C38" s="13" t="s">
        <v>36</v>
      </c>
      <c r="D38" s="13" t="s">
        <v>37</v>
      </c>
      <c r="E38" s="13" t="s">
        <v>38</v>
      </c>
    </row>
    <row r="39" spans="1:9" ht="15" customHeight="1">
      <c r="A39" t="s">
        <v>42</v>
      </c>
      <c r="B39" s="9">
        <f>I8</f>
        <v>2.3946728116763794E-4</v>
      </c>
      <c r="C39" s="10">
        <f>hours_per_year*B39</f>
        <v>2.0977333830285083</v>
      </c>
      <c r="D39" s="10">
        <f>B39*min_per_year</f>
        <v>125.8640029817105</v>
      </c>
      <c r="E39" s="10">
        <f>B39*secs_per_year</f>
        <v>7551.8401789026302</v>
      </c>
    </row>
    <row r="40" spans="1:9">
      <c r="A40" t="s">
        <v>43</v>
      </c>
      <c r="B40" s="9">
        <f>I9</f>
        <v>2.4793724529725836E-4</v>
      </c>
      <c r="C40" s="10">
        <f>hours_per_year*B40</f>
        <v>2.1719302688039832</v>
      </c>
      <c r="D40" s="10">
        <f>B40*min_per_year</f>
        <v>130.31581612823899</v>
      </c>
      <c r="E40" s="10">
        <f>B40*secs_per_year</f>
        <v>7818.9489676943394</v>
      </c>
    </row>
    <row r="41" spans="1:9">
      <c r="A41" t="s">
        <v>44</v>
      </c>
      <c r="B41" s="9">
        <f>J10</f>
        <v>5.937285803152818E-8</v>
      </c>
      <c r="C41" s="10">
        <f>hours_per_year*B41</f>
        <v>5.201062363561869E-4</v>
      </c>
      <c r="D41" s="10">
        <f>B41*min_per_year</f>
        <v>3.1206374181371212E-2</v>
      </c>
      <c r="E41" s="12">
        <f>B41*secs_per_year</f>
        <v>1.8723824508822726</v>
      </c>
      <c r="I41" t="s">
        <v>49</v>
      </c>
    </row>
    <row r="42" spans="1:9">
      <c r="A42" t="s">
        <v>45</v>
      </c>
      <c r="B42" s="9">
        <f>J20</f>
        <v>5.3359760478762377E-8</v>
      </c>
      <c r="C42" s="10">
        <f>hours_per_year*B42</f>
        <v>4.6743150179395841E-4</v>
      </c>
      <c r="D42" s="10">
        <f>B42*min_per_year</f>
        <v>2.8045890107637507E-2</v>
      </c>
      <c r="E42" s="12">
        <f>B42*secs_per_year</f>
        <v>1.6827534064582503</v>
      </c>
    </row>
    <row r="43" spans="1:9">
      <c r="A43" t="s">
        <v>18</v>
      </c>
      <c r="B43" s="9">
        <f>J22</f>
        <v>1.1273261851029055E-7</v>
      </c>
      <c r="C43" s="10">
        <f>hours_per_year*B43</f>
        <v>9.8753773815014531E-4</v>
      </c>
      <c r="D43" s="10">
        <f>B43*min_per_year</f>
        <v>5.9252264289008712E-2</v>
      </c>
      <c r="E43" s="10">
        <f>B43*secs_per_year</f>
        <v>3.555135857340523</v>
      </c>
    </row>
    <row r="46" spans="1:9">
      <c r="A46" t="s">
        <v>50</v>
      </c>
    </row>
    <row r="47" spans="1:9">
      <c r="A47" s="13" t="s">
        <v>51</v>
      </c>
      <c r="B47" s="13" t="s">
        <v>35</v>
      </c>
      <c r="C47" s="13" t="s">
        <v>36</v>
      </c>
      <c r="D47" s="13" t="s">
        <v>37</v>
      </c>
      <c r="E47" s="13" t="s">
        <v>38</v>
      </c>
    </row>
    <row r="48" spans="1:9">
      <c r="A48">
        <v>0.99995000000000001</v>
      </c>
      <c r="B48">
        <f>1-A48</f>
        <v>4.9999999999994493E-5</v>
      </c>
      <c r="C48" s="10">
        <f>hours_per_year*B48</f>
        <v>0.43799999999995176</v>
      </c>
      <c r="D48" s="10">
        <f>B48*min_per_year</f>
        <v>26.279999999997106</v>
      </c>
      <c r="E48" s="10">
        <f>B48*secs_per_year</f>
        <v>1576.7999999998262</v>
      </c>
    </row>
    <row r="51" spans="1:5">
      <c r="A51" s="14" t="s">
        <v>52</v>
      </c>
    </row>
    <row r="52" spans="1:5">
      <c r="A52" t="s">
        <v>53</v>
      </c>
      <c r="B52" t="s">
        <v>54</v>
      </c>
    </row>
    <row r="53" spans="1:5">
      <c r="A53" t="s">
        <v>55</v>
      </c>
      <c r="B53" t="s">
        <v>56</v>
      </c>
    </row>
    <row r="57" spans="1:5">
      <c r="A57" s="38" t="s">
        <v>60</v>
      </c>
    </row>
    <row r="59" spans="1:5">
      <c r="A59" s="38" t="s">
        <v>64</v>
      </c>
      <c r="E59" t="s">
        <v>65</v>
      </c>
    </row>
    <row r="60" spans="1:5">
      <c r="A60" t="s">
        <v>61</v>
      </c>
    </row>
    <row r="61" spans="1:5">
      <c r="A61" t="s">
        <v>62</v>
      </c>
    </row>
    <row r="62" spans="1:5">
      <c r="A62" t="s">
        <v>63</v>
      </c>
    </row>
    <row r="64" spans="1:5">
      <c r="A64" t="s">
        <v>66</v>
      </c>
    </row>
    <row r="65" spans="1:8">
      <c r="A65" t="s">
        <v>67</v>
      </c>
    </row>
    <row r="66" spans="1:8">
      <c r="A66" t="s">
        <v>68</v>
      </c>
    </row>
    <row r="68" spans="1:8">
      <c r="B68" s="35" t="s">
        <v>72</v>
      </c>
      <c r="C68" s="35" t="s">
        <v>73</v>
      </c>
      <c r="D68" s="35" t="s">
        <v>74</v>
      </c>
      <c r="F68" s="35" t="s">
        <v>75</v>
      </c>
      <c r="G68" s="35" t="s">
        <v>76</v>
      </c>
      <c r="H68" s="35" t="s">
        <v>77</v>
      </c>
    </row>
    <row r="69" spans="1:8">
      <c r="A69" t="s">
        <v>69</v>
      </c>
      <c r="B69" s="32">
        <f>C3</f>
        <v>236127.50885478157</v>
      </c>
      <c r="C69" s="32">
        <f>C3</f>
        <v>236127.50885478157</v>
      </c>
      <c r="D69" s="33"/>
      <c r="F69" s="32">
        <f>C3</f>
        <v>236127.50885478157</v>
      </c>
      <c r="G69" s="32">
        <f>C3</f>
        <v>236127.50885478157</v>
      </c>
      <c r="H69" s="33"/>
    </row>
    <row r="70" spans="1:8">
      <c r="A70" t="s">
        <v>70</v>
      </c>
      <c r="B70" s="33">
        <v>1</v>
      </c>
      <c r="C70" s="33">
        <v>1</v>
      </c>
      <c r="D70" s="33"/>
      <c r="F70" s="33">
        <v>1</v>
      </c>
      <c r="G70" s="33">
        <v>1</v>
      </c>
      <c r="H70" s="33"/>
    </row>
    <row r="71" spans="1:8">
      <c r="A71" t="s">
        <v>71</v>
      </c>
      <c r="B71" s="34">
        <f>1/B69</f>
        <v>4.2350000000000001E-6</v>
      </c>
      <c r="C71" s="34">
        <f>1/B69</f>
        <v>4.2350000000000001E-6</v>
      </c>
      <c r="D71" s="34">
        <f>B71+C71</f>
        <v>8.4700000000000002E-6</v>
      </c>
      <c r="F71" s="34">
        <f>1/F69</f>
        <v>4.2350000000000001E-6</v>
      </c>
      <c r="G71" s="34">
        <f>1/F69</f>
        <v>4.2350000000000001E-6</v>
      </c>
      <c r="H71" s="34">
        <f>F71+G71</f>
        <v>8.4700000000000002E-6</v>
      </c>
    </row>
    <row r="72" spans="1:8">
      <c r="B72" s="8"/>
    </row>
    <row r="73" spans="1:8">
      <c r="A73" t="s">
        <v>78</v>
      </c>
      <c r="B73" s="8">
        <f>(D71)^2</f>
        <v>7.1740900000000005E-11</v>
      </c>
    </row>
    <row r="74" spans="1:8">
      <c r="A74" t="s">
        <v>79</v>
      </c>
      <c r="B74" s="8">
        <f>2*(D71)^2*1</f>
        <v>1.4348180000000001E-10</v>
      </c>
      <c r="C74" t="s">
        <v>35</v>
      </c>
    </row>
    <row r="75" spans="1:8">
      <c r="A75" t="s">
        <v>80</v>
      </c>
      <c r="B75" s="36">
        <f>1-B74</f>
        <v>0.99999999985651822</v>
      </c>
    </row>
    <row r="77" spans="1:8">
      <c r="A77" t="s">
        <v>38</v>
      </c>
      <c r="B77" s="37">
        <f>B74*secs_per_year</f>
        <v>4.5248420447999999E-3</v>
      </c>
    </row>
    <row r="81" spans="1:3">
      <c r="A81" s="53" t="s">
        <v>85</v>
      </c>
      <c r="B81" s="54"/>
    </row>
    <row r="82" spans="1:3">
      <c r="A82" s="55"/>
      <c r="B82" s="56"/>
    </row>
    <row r="83" spans="1:3">
      <c r="A83" s="25" t="s">
        <v>81</v>
      </c>
      <c r="B83" s="39">
        <f>B74</f>
        <v>1.4348180000000001E-10</v>
      </c>
    </row>
    <row r="84" spans="1:3" ht="15" thickBot="1">
      <c r="A84" s="25" t="s">
        <v>82</v>
      </c>
      <c r="B84" s="40">
        <f>B75</f>
        <v>0.99999999985651822</v>
      </c>
    </row>
    <row r="85" spans="1:3" ht="15" thickBot="1">
      <c r="A85" s="25" t="s">
        <v>83</v>
      </c>
      <c r="B85" s="41">
        <f>B75</f>
        <v>0.99999999985651822</v>
      </c>
    </row>
    <row r="86" spans="1:3">
      <c r="A86" s="27" t="s">
        <v>84</v>
      </c>
      <c r="B86" s="42">
        <f>B77</f>
        <v>4.5248420447999999E-3</v>
      </c>
    </row>
    <row r="87" spans="1:3">
      <c r="B87" s="43"/>
    </row>
    <row r="88" spans="1:3">
      <c r="A88" s="44"/>
      <c r="B88" s="47" t="s">
        <v>88</v>
      </c>
      <c r="C88" s="48" t="s">
        <v>89</v>
      </c>
    </row>
    <row r="89" spans="1:3">
      <c r="A89" s="25" t="s">
        <v>86</v>
      </c>
      <c r="B89" s="46">
        <f>J22</f>
        <v>1.1273261851029055E-7</v>
      </c>
      <c r="C89" s="45">
        <f>B89*secs_per_year</f>
        <v>3.555135857340523</v>
      </c>
    </row>
    <row r="90" spans="1:3">
      <c r="A90" s="25" t="s">
        <v>87</v>
      </c>
      <c r="B90" s="8">
        <f>B83</f>
        <v>1.4348180000000001E-10</v>
      </c>
      <c r="C90" s="50">
        <f>B90*secs_per_year</f>
        <v>4.5248420447999999E-3</v>
      </c>
    </row>
    <row r="91" spans="1:3">
      <c r="A91" s="27" t="s">
        <v>93</v>
      </c>
      <c r="B91" s="51">
        <f>B94</f>
        <v>1.1287610031029055E-7</v>
      </c>
      <c r="C91" s="52">
        <f>B97</f>
        <v>3.559660699385323</v>
      </c>
    </row>
    <row r="93" spans="1:3">
      <c r="A93" t="s">
        <v>90</v>
      </c>
    </row>
    <row r="94" spans="1:3">
      <c r="A94" t="s">
        <v>91</v>
      </c>
      <c r="B94" s="46">
        <f>B89+B90</f>
        <v>1.1287610031029055E-7</v>
      </c>
    </row>
    <row r="95" spans="1:3">
      <c r="A95" t="s">
        <v>92</v>
      </c>
      <c r="B95" s="36">
        <f>1-B94</f>
        <v>0.99999988712389964</v>
      </c>
    </row>
    <row r="96" spans="1:3">
      <c r="A96" s="25" t="s">
        <v>83</v>
      </c>
      <c r="B96" s="49">
        <f>B95</f>
        <v>0.99999988712389964</v>
      </c>
    </row>
    <row r="97" spans="1:2">
      <c r="A97" t="s">
        <v>84</v>
      </c>
      <c r="B97" s="43">
        <f>B94*secs_per_year</f>
        <v>3.559660699385323</v>
      </c>
    </row>
  </sheetData>
  <mergeCells count="1">
    <mergeCell ref="A81:B82"/>
  </mergeCells>
  <pageMargins left="0.7" right="0.7" top="0.75" bottom="0.75" header="0.3" footer="0.3"/>
  <ignoredErrors>
    <ignoredError sqref="B85" formula="1"/>
  </ignoredError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8459-4EED-4138-A688-00E161EAB1AC}">
  <dimension ref="A1:B4"/>
  <sheetViews>
    <sheetView workbookViewId="0">
      <selection activeCell="B4" sqref="B4"/>
    </sheetView>
  </sheetViews>
  <sheetFormatPr defaultRowHeight="14.4"/>
  <cols>
    <col min="1" max="1" width="30.6640625" customWidth="1"/>
    <col min="2" max="2" width="11.5546875" bestFit="1" customWidth="1"/>
  </cols>
  <sheetData>
    <row r="1" spans="1:2">
      <c r="A1" s="5" t="s">
        <v>30</v>
      </c>
      <c r="B1" s="6">
        <f>365*24</f>
        <v>8760</v>
      </c>
    </row>
    <row r="2" spans="1:2">
      <c r="A2" s="5" t="s">
        <v>31</v>
      </c>
      <c r="B2" s="6">
        <f>365*24*60</f>
        <v>525600</v>
      </c>
    </row>
    <row r="3" spans="1:2">
      <c r="A3" s="7" t="s">
        <v>32</v>
      </c>
      <c r="B3" s="8">
        <f>365*24*60*60</f>
        <v>31536000</v>
      </c>
    </row>
    <row r="4" spans="1:2">
      <c r="A4" s="7" t="s">
        <v>33</v>
      </c>
      <c r="B4" s="8">
        <v>1.0000000000000001E-9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1D36AAC624E94E8F129E6DFDBE2D11" ma:contentTypeVersion="4" ma:contentTypeDescription="Create a new document." ma:contentTypeScope="" ma:versionID="a7777b6a96e22a78beb24bc9907e6592">
  <xsd:schema xmlns:xsd="http://www.w3.org/2001/XMLSchema" xmlns:xs="http://www.w3.org/2001/XMLSchema" xmlns:p="http://schemas.microsoft.com/office/2006/metadata/properties" xmlns:ns1="http://schemas.microsoft.com/sharepoint/v3" xmlns:ns2="2f9dc90f-1299-4b9a-818c-ce6c4da475dd" xmlns:ns3="d6727227-78a3-4c6b-8cf9-fbafb3cba6e5" xmlns:ns4="95b3ca08-ad10-415c-898a-a05569d672b2" xmlns:ns5="4076dbef-1ec0-451e-9683-62bf7dd2f073" targetNamespace="http://schemas.microsoft.com/office/2006/metadata/properties" ma:root="true" ma:fieldsID="509e9c2fb70ea1dcb322c8bb01bead06" ns1:_="" ns2:_="" ns3:_="" ns4:_="" ns5:_="">
    <xsd:import namespace="http://schemas.microsoft.com/sharepoint/v3"/>
    <xsd:import namespace="2f9dc90f-1299-4b9a-818c-ce6c4da475dd"/>
    <xsd:import namespace="d6727227-78a3-4c6b-8cf9-fbafb3cba6e5"/>
    <xsd:import namespace="95b3ca08-ad10-415c-898a-a05569d672b2"/>
    <xsd:import namespace="4076dbef-1ec0-451e-9683-62bf7dd2f0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1:_ip_UnifiedCompliancePolicyProperties" minOccurs="0"/>
                <xsd:element ref="ns1:_ip_UnifiedCompliancePolicyUIAction" minOccurs="0"/>
                <xsd:element ref="ns2:Notes" minOccurs="0"/>
                <xsd:element ref="ns2:MediaServiceSearchProperties" minOccurs="0"/>
                <xsd:element ref="ns2:MediaLengthInSeconds" minOccurs="0"/>
                <xsd:element ref="ns2:Comment"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c90f-1299-4b9a-818c-ce6c4da475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Notes" ma:index="20" nillable="true" ma:displayName="Notes" ma:format="Dropdown" ma:internalName="Notes">
      <xsd:simpleType>
        <xsd:restriction base="dms:Text">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Comment" ma:index="23" nillable="true" ma:displayName="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727227-78a3-4c6b-8cf9-fbafb3cba6e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b3ca08-ad10-415c-898a-a05569d672b2" elementFormDefault="qualified">
    <xsd:import namespace="http://schemas.microsoft.com/office/2006/documentManagement/types"/>
    <xsd:import namespace="http://schemas.microsoft.com/office/infopath/2007/PartnerControls"/>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9dd84382-b38c-4eba-b7c2-4a66a077def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076dbef-1ec0-451e-9683-62bf7dd2f073"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20497108-2333-4c21-a913-5bcb82e12d6e}" ma:internalName="TaxCatchAll" ma:showField="CatchAllData" ma:web="4076dbef-1ec0-451e-9683-62bf7dd2f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tes xmlns="2f9dc90f-1299-4b9a-818c-ce6c4da475dd" xsi:nil="true"/>
    <_ip_UnifiedCompliancePolicyUIAction xmlns="http://schemas.microsoft.com/sharepoint/v3" xsi:nil="true"/>
    <TaxCatchAll xmlns="4076dbef-1ec0-451e-9683-62bf7dd2f073" xsi:nil="true"/>
    <lcf76f155ced4ddcb4097134ff3c332f xmlns="95b3ca08-ad10-415c-898a-a05569d672b2">
      <Terms xmlns="http://schemas.microsoft.com/office/infopath/2007/PartnerControls"/>
    </lcf76f155ced4ddcb4097134ff3c332f>
    <_ip_UnifiedCompliancePolicyProperties xmlns="http://schemas.microsoft.com/sharepoint/v3" xsi:nil="true"/>
    <Comment xmlns="2f9dc90f-1299-4b9a-818c-ce6c4da475dd" xsi:nil="true"/>
  </documentManagement>
</p:properties>
</file>

<file path=customXml/itemProps1.xml><?xml version="1.0" encoding="utf-8"?>
<ds:datastoreItem xmlns:ds="http://schemas.openxmlformats.org/officeDocument/2006/customXml" ds:itemID="{3485B566-E6D7-40B0-BE54-10EC772C8A4D}">
  <ds:schemaRefs>
    <ds:schemaRef ds:uri="http://schemas.microsoft.com/sharepoint/v3/contenttype/forms"/>
  </ds:schemaRefs>
</ds:datastoreItem>
</file>

<file path=customXml/itemProps2.xml><?xml version="1.0" encoding="utf-8"?>
<ds:datastoreItem xmlns:ds="http://schemas.openxmlformats.org/officeDocument/2006/customXml" ds:itemID="{9E5DC258-1F3A-4185-9D09-EECF9DB20A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f9dc90f-1299-4b9a-818c-ce6c4da475dd"/>
    <ds:schemaRef ds:uri="d6727227-78a3-4c6b-8cf9-fbafb3cba6e5"/>
    <ds:schemaRef ds:uri="95b3ca08-ad10-415c-898a-a05569d672b2"/>
    <ds:schemaRef ds:uri="4076dbef-1ec0-451e-9683-62bf7dd2f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F287AE-36D7-4C52-9D62-1DFB455028B8}">
  <ds:schemaRefs>
    <ds:schemaRef ds:uri="http://purl.org/dc/elements/1.1/"/>
    <ds:schemaRef ds:uri="http://www.w3.org/XML/1998/namespace"/>
    <ds:schemaRef ds:uri="http://schemas.microsoft.com/office/2006/metadata/properties"/>
    <ds:schemaRef ds:uri="4076dbef-1ec0-451e-9683-62bf7dd2f073"/>
    <ds:schemaRef ds:uri="95b3ca08-ad10-415c-898a-a05569d672b2"/>
    <ds:schemaRef ds:uri="2f9dc90f-1299-4b9a-818c-ce6c4da475dd"/>
    <ds:schemaRef ds:uri="http://purl.org/dc/terms/"/>
    <ds:schemaRef ds:uri="d6727227-78a3-4c6b-8cf9-fbafb3cba6e5"/>
    <ds:schemaRef ds:uri="http://schemas.microsoft.com/office/infopath/2007/PartnerControls"/>
    <ds:schemaRef ds:uri="http://schemas.microsoft.com/office/2006/documentManagement/types"/>
    <ds:schemaRef ds:uri="http://schemas.openxmlformats.org/package/2006/metadata/core-properties"/>
    <ds:schemaRef ds:uri="http://schemas.microsoft.com/sharepoint/v3"/>
    <ds:schemaRef ds:uri="http://purl.org/dc/dcmitype/"/>
  </ds:schemaRefs>
</ds:datastoreItem>
</file>

<file path=docMetadata/LabelInfo.xml><?xml version="1.0" encoding="utf-8"?>
<clbl:labelList xmlns:clbl="http://schemas.microsoft.com/office/2020/mipLabelMetadata">
  <clbl:label id="{f54277c9-dafe-44aa-85a4-73d5c7c52450}" enabled="0" method="" siteId="{f54277c9-dafe-44aa-85a4-73d5c7c524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Assumed topology (basic red)</vt:lpstr>
      <vt:lpstr>Approx. availability</vt:lpstr>
      <vt:lpstr>settings</vt:lpstr>
      <vt:lpstr>hours_per_year</vt:lpstr>
      <vt:lpstr>min_per_year</vt:lpstr>
      <vt:lpstr>nano</vt:lpstr>
      <vt:lpstr>secs_per_year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 Johannes</dc:creator>
  <cp:lastModifiedBy>MOSER Florian</cp:lastModifiedBy>
  <dcterms:created xsi:type="dcterms:W3CDTF">2026-10-21T15:47:49Z</dcterms:created>
  <dcterms:modified xsi:type="dcterms:W3CDTF">2026-10-26T21:54:24Z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0x0101007F1D36AAC624E94E8F129E6DFDBE2D11</vt:lpwstr>
  </property>
</Properties>
</file>