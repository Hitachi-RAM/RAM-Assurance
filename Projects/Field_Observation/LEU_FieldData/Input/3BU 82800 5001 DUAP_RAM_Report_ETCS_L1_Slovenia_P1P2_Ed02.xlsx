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60" windowWidth="24780" windowHeight="9855"/>
  </bookViews>
  <sheets>
    <sheet name="LEU SVN" sheetId="2" r:id="rId1"/>
    <sheet name="MTBD" sheetId="7" r:id="rId2"/>
    <sheet name="Pivot Error" sheetId="10" r:id="rId3"/>
    <sheet name="Error Sum" sheetId="9" r:id="rId4"/>
    <sheet name="Diag_Summary" sheetId="8" r:id="rId5"/>
    <sheet name="Stations" sheetId="5" r:id="rId6"/>
    <sheet name="Settings" sheetId="6" r:id="rId7"/>
  </sheets>
  <externalReferences>
    <externalReference r:id="rId8"/>
  </externalReferences>
  <definedNames>
    <definedName name="_xlnm._FilterDatabase" localSheetId="3" hidden="1">'Error Sum'!$A$1:$C$168</definedName>
    <definedName name="BP_CAN_INDOOR">'[1]Failure Rates'!$C$3</definedName>
    <definedName name="BP_CAN_OUTDOOR">'[1]Failure Rates'!$D$3</definedName>
    <definedName name="hours_per_year">Settings!$B$1</definedName>
    <definedName name="MTTR">[1]Settings!$B$2</definedName>
    <definedName name="nano">[1]Settings!$B$1</definedName>
    <definedName name="PDU_230V_INDOOR">'[1]Failure Rates'!$C$31</definedName>
    <definedName name="PDU_230V_OUTDOOR">'[1]Failure Rates'!$D$31</definedName>
    <definedName name="PICCG2_INDOOR">'[1]Failure Rates'!$C$10</definedName>
    <definedName name="PICCG2_OUTDOOR">'[1]Failure Rates'!$D$10</definedName>
  </definedNames>
  <calcPr calcId="145621"/>
  <pivotCaches>
    <pivotCache cacheId="1" r:id="rId9"/>
  </pivotCaches>
</workbook>
</file>

<file path=xl/calcChain.xml><?xml version="1.0" encoding="utf-8"?>
<calcChain xmlns="http://schemas.openxmlformats.org/spreadsheetml/2006/main">
  <c r="D13" i="7" l="1"/>
  <c r="D12" i="7"/>
  <c r="C14" i="7"/>
  <c r="D14" i="7" l="1"/>
  <c r="I4" i="7"/>
  <c r="I5" i="7"/>
  <c r="I6" i="7"/>
  <c r="I7" i="7"/>
  <c r="I8" i="7"/>
  <c r="I9" i="7"/>
  <c r="I3" i="7"/>
  <c r="B10" i="7"/>
  <c r="K10" i="7" s="1"/>
  <c r="C10" i="7"/>
  <c r="E10" i="7"/>
  <c r="F10" i="7"/>
  <c r="G10" i="7"/>
  <c r="H10" i="7"/>
  <c r="D10" i="7"/>
  <c r="I12" i="9"/>
  <c r="I6" i="9"/>
  <c r="I11" i="9"/>
  <c r="I10" i="9"/>
  <c r="I9" i="9"/>
  <c r="I8" i="9"/>
  <c r="I7" i="9"/>
  <c r="F13" i="9"/>
  <c r="F12" i="9"/>
  <c r="F11" i="9"/>
  <c r="F10" i="9"/>
  <c r="F9" i="9"/>
  <c r="F8" i="9"/>
  <c r="F7" i="9"/>
  <c r="J10" i="7" l="1"/>
  <c r="J11" i="7" s="1"/>
  <c r="I10" i="7"/>
  <c r="B1" i="6" l="1"/>
  <c r="AK19" i="2" l="1"/>
  <c r="AJ19" i="2"/>
  <c r="AI19" i="2"/>
  <c r="AH19" i="2"/>
  <c r="AF19" i="2" s="1"/>
  <c r="AG19" i="2" s="1"/>
  <c r="AI18" i="2"/>
  <c r="AK18" i="2" s="1"/>
  <c r="AH18" i="2"/>
  <c r="AF18" i="2" s="1"/>
  <c r="AG18" i="2" s="1"/>
  <c r="AK16" i="2"/>
  <c r="AJ16" i="2"/>
  <c r="AI16" i="2"/>
  <c r="AH16" i="2"/>
  <c r="AF16" i="2" s="1"/>
  <c r="AG16" i="2" s="1"/>
  <c r="AI15" i="2"/>
  <c r="AK15" i="2" s="1"/>
  <c r="AH15" i="2"/>
  <c r="AF15" i="2" s="1"/>
  <c r="AG15" i="2" s="1"/>
  <c r="AK14" i="2"/>
  <c r="AJ14" i="2"/>
  <c r="AI14" i="2"/>
  <c r="AH14" i="2"/>
  <c r="AF14" i="2" s="1"/>
  <c r="AG14" i="2" s="1"/>
  <c r="AI13" i="2"/>
  <c r="AK13" i="2" s="1"/>
  <c r="AH13" i="2"/>
  <c r="AF13" i="2" s="1"/>
  <c r="AG13" i="2" s="1"/>
  <c r="AI12" i="2"/>
  <c r="AK12" i="2" s="1"/>
  <c r="AI27" i="2"/>
  <c r="AJ27" i="2" s="1"/>
  <c r="AH28" i="2"/>
  <c r="AF28" i="2" s="1"/>
  <c r="AG28" i="2" s="1"/>
  <c r="AI28" i="2"/>
  <c r="AJ28" i="2" s="1"/>
  <c r="AK28" i="2"/>
  <c r="AI29" i="2"/>
  <c r="AK29" i="2" s="1"/>
  <c r="AJ29" i="2"/>
  <c r="AH30" i="2"/>
  <c r="AF30" i="2" s="1"/>
  <c r="AG30" i="2" s="1"/>
  <c r="AI30" i="2"/>
  <c r="AJ30" i="2" s="1"/>
  <c r="AK30" i="2"/>
  <c r="AF21" i="2"/>
  <c r="AI26" i="2"/>
  <c r="AJ26" i="2" s="1"/>
  <c r="AI25" i="2"/>
  <c r="AH25" i="2" s="1"/>
  <c r="AF25" i="2" s="1"/>
  <c r="AG25" i="2" s="1"/>
  <c r="AI24" i="2"/>
  <c r="AJ24" i="2" s="1"/>
  <c r="AI4" i="2"/>
  <c r="AJ4" i="2" s="1"/>
  <c r="AI5" i="2"/>
  <c r="AJ5" i="2" s="1"/>
  <c r="AK5" i="2"/>
  <c r="AI3" i="2"/>
  <c r="AK3" i="2" s="1"/>
  <c r="T18" i="2"/>
  <c r="AJ12" i="2" l="1"/>
  <c r="AH12" i="2"/>
  <c r="AF12" i="2" s="1"/>
  <c r="AG12" i="2" s="1"/>
  <c r="AJ15" i="2"/>
  <c r="AJ18" i="2"/>
  <c r="AJ13" i="2"/>
  <c r="AH29" i="2"/>
  <c r="AF29" i="2" s="1"/>
  <c r="AG29" i="2" s="1"/>
  <c r="AH27" i="2"/>
  <c r="AF27" i="2" s="1"/>
  <c r="AG27" i="2" s="1"/>
  <c r="AK27" i="2"/>
  <c r="AH24" i="2"/>
  <c r="AF24" i="2" s="1"/>
  <c r="AG24" i="2" s="1"/>
  <c r="AH26" i="2"/>
  <c r="AF26" i="2" s="1"/>
  <c r="AG26" i="2" s="1"/>
  <c r="AH3" i="2"/>
  <c r="AF3" i="2" s="1"/>
  <c r="AG3" i="2" s="1"/>
  <c r="AK24" i="2"/>
  <c r="AK26" i="2"/>
  <c r="AJ25" i="2"/>
  <c r="AK25" i="2"/>
  <c r="AJ3" i="2"/>
  <c r="AH5" i="2"/>
  <c r="AF5" i="2" s="1"/>
  <c r="AG5" i="2" s="1"/>
  <c r="AH4" i="2"/>
  <c r="AF4" i="2" s="1"/>
  <c r="AG4" i="2" s="1"/>
  <c r="AK4" i="2"/>
  <c r="D9" i="2" l="1"/>
  <c r="E9" i="2"/>
  <c r="F9" i="2"/>
  <c r="G9" i="2"/>
  <c r="H9" i="2"/>
  <c r="I9" i="2"/>
  <c r="C9" i="2"/>
  <c r="U5" i="2"/>
  <c r="U6" i="2"/>
  <c r="U7" i="2"/>
  <c r="U8" i="2"/>
  <c r="U4" i="2"/>
  <c r="U12" i="2"/>
  <c r="U16" i="2"/>
  <c r="U13" i="2"/>
  <c r="N15" i="2"/>
  <c r="Q15" i="2" s="1"/>
  <c r="N16" i="2"/>
  <c r="O16" i="2" s="1"/>
  <c r="J15" i="2"/>
  <c r="X15" i="2" s="1"/>
  <c r="W15" i="2" s="1"/>
  <c r="U15" i="2" s="1"/>
  <c r="V15" i="2" s="1"/>
  <c r="J16" i="2"/>
  <c r="M12" i="2"/>
  <c r="R12" i="2" s="1"/>
  <c r="N12" i="2"/>
  <c r="Q12" i="2" s="1"/>
  <c r="M13" i="2"/>
  <c r="R13" i="2" s="1"/>
  <c r="N13" i="2"/>
  <c r="S13" i="2" s="1"/>
  <c r="M14" i="2"/>
  <c r="P14" i="2" s="1"/>
  <c r="N14" i="2"/>
  <c r="O14" i="2" s="1"/>
  <c r="N11" i="2"/>
  <c r="S11" i="2" s="1"/>
  <c r="M11" i="2"/>
  <c r="P11" i="2" s="1"/>
  <c r="L8" i="2"/>
  <c r="N8" i="2" s="1"/>
  <c r="K8" i="2"/>
  <c r="M8" i="2" s="1"/>
  <c r="N7" i="2"/>
  <c r="S7" i="2" s="1"/>
  <c r="M7" i="2"/>
  <c r="R7" i="2" s="1"/>
  <c r="N6" i="2"/>
  <c r="Q6" i="2" s="1"/>
  <c r="M6" i="2"/>
  <c r="R6" i="2" s="1"/>
  <c r="N5" i="2"/>
  <c r="Q5" i="2" s="1"/>
  <c r="M5" i="2"/>
  <c r="R5" i="2" s="1"/>
  <c r="N4" i="2"/>
  <c r="S4" i="2" s="1"/>
  <c r="M4" i="2"/>
  <c r="P4" i="2" s="1"/>
  <c r="J14" i="2"/>
  <c r="X14" i="2" s="1"/>
  <c r="W14" i="2" s="1"/>
  <c r="U14" i="2" s="1"/>
  <c r="V14" i="2" s="1"/>
  <c r="J13" i="2"/>
  <c r="J12" i="2"/>
  <c r="J11" i="2"/>
  <c r="X11" i="2" s="1"/>
  <c r="W11" i="2" s="1"/>
  <c r="U11" i="2" s="1"/>
  <c r="V11" i="2" s="1"/>
  <c r="J8" i="2"/>
  <c r="J7" i="2"/>
  <c r="J6" i="2"/>
  <c r="J5" i="2"/>
  <c r="J4" i="2"/>
  <c r="J9" i="2" l="1"/>
  <c r="Y15" i="2"/>
  <c r="Z11" i="2"/>
  <c r="K9" i="2"/>
  <c r="Y11" i="2"/>
  <c r="Z15" i="2"/>
  <c r="Z14" i="2"/>
  <c r="Y14" i="2"/>
  <c r="O13" i="2"/>
  <c r="O15" i="2"/>
  <c r="S6" i="2"/>
  <c r="R14" i="2"/>
  <c r="Q13" i="2"/>
  <c r="Q16" i="2"/>
  <c r="S12" i="2"/>
  <c r="O4" i="2"/>
  <c r="Q4" i="2"/>
  <c r="P5" i="2"/>
  <c r="O6" i="2"/>
  <c r="P12" i="2"/>
  <c r="S15" i="2"/>
  <c r="P7" i="2"/>
  <c r="O12" i="2"/>
  <c r="S16" i="2"/>
  <c r="Q14" i="2"/>
  <c r="P13" i="2"/>
  <c r="S14" i="2"/>
  <c r="R11" i="2"/>
  <c r="O11" i="2"/>
  <c r="Q11" i="2"/>
  <c r="R8" i="2"/>
  <c r="P8" i="2"/>
  <c r="S8" i="2"/>
  <c r="O8" i="2"/>
  <c r="Q8" i="2"/>
  <c r="R4" i="2"/>
  <c r="O5" i="2"/>
  <c r="S5" i="2"/>
  <c r="P6" i="2"/>
  <c r="Q7" i="2"/>
  <c r="O7" i="2"/>
</calcChain>
</file>

<file path=xl/sharedStrings.xml><?xml version="1.0" encoding="utf-8"?>
<sst xmlns="http://schemas.openxmlformats.org/spreadsheetml/2006/main" count="1112" uniqueCount="396">
  <si>
    <t>1PICCG2 + 1SAB</t>
  </si>
  <si>
    <t>2PICCG2 + 1SAB</t>
  </si>
  <si>
    <t>1PICCG2 + 1RAB</t>
  </si>
  <si>
    <t>2PICCG2 + 1RAB</t>
  </si>
  <si>
    <t>Fit
LEU Subsystem</t>
  </si>
  <si>
    <t>MTBF
[y]</t>
  </si>
  <si>
    <t>MTBF
[h]</t>
  </si>
  <si>
    <t>Availability
[%]</t>
  </si>
  <si>
    <t>Failure
[%/y]</t>
  </si>
  <si>
    <t>GB40</t>
  </si>
  <si>
    <t>GF40</t>
  </si>
  <si>
    <t>P1</t>
  </si>
  <si>
    <t>1PiCCG2</t>
  </si>
  <si>
    <t>Installed Base</t>
  </si>
  <si>
    <t>P2</t>
  </si>
  <si>
    <t>S1</t>
  </si>
  <si>
    <t>S2</t>
  </si>
  <si>
    <t>S3</t>
  </si>
  <si>
    <t>S4</t>
  </si>
  <si>
    <t>S5</t>
  </si>
  <si>
    <t>Total</t>
  </si>
  <si>
    <t>Section</t>
  </si>
  <si>
    <t>PICCG2</t>
  </si>
  <si>
    <t>SAB</t>
  </si>
  <si>
    <t>RAB</t>
  </si>
  <si>
    <t>PDU</t>
  </si>
  <si>
    <t>calculated</t>
  </si>
  <si>
    <t>Repairs</t>
  </si>
  <si>
    <t>Balise Fix</t>
  </si>
  <si>
    <t>Balise Switch</t>
  </si>
  <si>
    <t>empirical</t>
  </si>
  <si>
    <t>Fit
[1E-09/h]</t>
  </si>
  <si>
    <t>Real λ</t>
  </si>
  <si>
    <t>MTTR
[h]</t>
  </si>
  <si>
    <t>LEU Total</t>
  </si>
  <si>
    <t>LEU</t>
  </si>
  <si>
    <t>vP1S1</t>
  </si>
  <si>
    <t>vP2S1</t>
  </si>
  <si>
    <t>vP1R1</t>
  </si>
  <si>
    <t>vP2R1</t>
  </si>
  <si>
    <t>vP1</t>
  </si>
  <si>
    <t>PDU rep</t>
  </si>
  <si>
    <t>I.B. PDU</t>
  </si>
  <si>
    <t>Rep</t>
  </si>
  <si>
    <t>I.B. LEU</t>
  </si>
  <si>
    <t>PICCG2 rep</t>
  </si>
  <si>
    <t>I.B. PICCG2</t>
  </si>
  <si>
    <t>sections</t>
  </si>
  <si>
    <t>rep/section</t>
  </si>
  <si>
    <t>fix</t>
  </si>
  <si>
    <t>sw</t>
  </si>
  <si>
    <t>Station Pivka</t>
  </si>
  <si>
    <t>Station Gornje Ležeče</t>
  </si>
  <si>
    <t>Station Sežana</t>
  </si>
  <si>
    <t>Station Murska Sobota</t>
  </si>
  <si>
    <t>Station Dankovci</t>
  </si>
  <si>
    <t>Station Hodoš</t>
  </si>
  <si>
    <t>Station PRESTRANEK</t>
  </si>
  <si>
    <t>Station POSTOJNA</t>
  </si>
  <si>
    <t>Station RAKEK</t>
  </si>
  <si>
    <t>Station PLANINA</t>
  </si>
  <si>
    <t>Station LOGATEC</t>
  </si>
  <si>
    <t>Station VERD</t>
  </si>
  <si>
    <t>Station BOROVNICA</t>
  </si>
  <si>
    <t>Station PRESERJE</t>
  </si>
  <si>
    <t>Station BREZOVICA</t>
  </si>
  <si>
    <t>Station RIMSKE TOPLICE</t>
  </si>
  <si>
    <t>Station LAŠKO</t>
  </si>
  <si>
    <t>Station CELJE</t>
  </si>
  <si>
    <t>Station ŠENTJUR</t>
  </si>
  <si>
    <t>Station GROBELNO</t>
  </si>
  <si>
    <t>Station PONIKVA</t>
  </si>
  <si>
    <t>Station DOLGA GORA</t>
  </si>
  <si>
    <t>Station POLJČANE</t>
  </si>
  <si>
    <t>Station SLOVENSKA BISTRICA</t>
  </si>
  <si>
    <t>Station PRAGERSKO</t>
  </si>
  <si>
    <t>Station Zidani Most</t>
  </si>
  <si>
    <t>Station Hrastnik</t>
  </si>
  <si>
    <t>Station Trbovlje</t>
  </si>
  <si>
    <t>Station Zagorje</t>
  </si>
  <si>
    <t>Station Sava</t>
  </si>
  <si>
    <t>Station Litija</t>
  </si>
  <si>
    <t>Station Kresnice</t>
  </si>
  <si>
    <t>Station Laze</t>
  </si>
  <si>
    <t>Station Ljubljana Zalog</t>
  </si>
  <si>
    <t>Station Ljubljana Moste</t>
  </si>
  <si>
    <t>Station Ljubljana</t>
  </si>
  <si>
    <t>Station Ljubljana Siska</t>
  </si>
  <si>
    <t>Station Rodik</t>
  </si>
  <si>
    <t>Station Hrpelje-Kozina</t>
  </si>
  <si>
    <t>Station Prešnica</t>
  </si>
  <si>
    <t>Station Črnotiče</t>
  </si>
  <si>
    <t>Station Hrastovlje</t>
  </si>
  <si>
    <t>Station Rižana</t>
  </si>
  <si>
    <t>Station Koper Tovorna</t>
  </si>
  <si>
    <t>Station Koper</t>
  </si>
  <si>
    <t>Station Divaca</t>
  </si>
  <si>
    <t>Station Cirkovce polje</t>
  </si>
  <si>
    <t>Station Kidričevo</t>
  </si>
  <si>
    <t>Station Ptuj</t>
  </si>
  <si>
    <t>Station Moškanjci</t>
  </si>
  <si>
    <t>Station Cvetkovci</t>
  </si>
  <si>
    <t>Station Ormož</t>
  </si>
  <si>
    <t>Station Ivanjkovci</t>
  </si>
  <si>
    <t>Station Ljutomer</t>
  </si>
  <si>
    <t>Station Lipovci</t>
  </si>
  <si>
    <t>hours_per_year</t>
  </si>
  <si>
    <t>Critical</t>
  </si>
  <si>
    <t>Balise disconnect</t>
  </si>
  <si>
    <t>MTBD</t>
  </si>
  <si>
    <t>MTBD REQ</t>
  </si>
  <si>
    <t>16667h for train delays of up to 5min</t>
  </si>
  <si>
    <t>Balise disconnect:</t>
  </si>
  <si>
    <t>Celje M2011</t>
  </si>
  <si>
    <t>Celje M21</t>
  </si>
  <si>
    <t>Celje S71</t>
  </si>
  <si>
    <t>Celje 31</t>
  </si>
  <si>
    <t>Celje 41</t>
  </si>
  <si>
    <t>Celje 61</t>
  </si>
  <si>
    <t>Celje SK22</t>
  </si>
  <si>
    <t>Celje K32</t>
  </si>
  <si>
    <t>Celje K62</t>
  </si>
  <si>
    <t>Celje K82</t>
  </si>
  <si>
    <t>Celje K311</t>
  </si>
  <si>
    <t>Celje K161</t>
  </si>
  <si>
    <t>Celje K172</t>
  </si>
  <si>
    <t>Celje 302</t>
  </si>
  <si>
    <t>Pivka 11</t>
  </si>
  <si>
    <t>Pivka 12</t>
  </si>
  <si>
    <t>Pivka 12-1</t>
  </si>
  <si>
    <t>Pivka 21</t>
  </si>
  <si>
    <t>Pivka 22</t>
  </si>
  <si>
    <t>Pivka 31</t>
  </si>
  <si>
    <t>Pivka 41</t>
  </si>
  <si>
    <t>Pivka 62</t>
  </si>
  <si>
    <t>Pivka B1</t>
  </si>
  <si>
    <t>Pivka B2</t>
  </si>
  <si>
    <t>Pivka K32</t>
  </si>
  <si>
    <t>Pivka PA2</t>
  </si>
  <si>
    <t>Pivka PB1</t>
  </si>
  <si>
    <t>Pivka PB2</t>
  </si>
  <si>
    <t>Rimske Toplice 21</t>
  </si>
  <si>
    <t>Rimske Toplice 22</t>
  </si>
  <si>
    <t>Rimske Toplice 31</t>
  </si>
  <si>
    <t>Rimkse Toplice 42</t>
  </si>
  <si>
    <t>Rimkse Toplice 61</t>
  </si>
  <si>
    <t>Rimkse Toplice A1</t>
  </si>
  <si>
    <t>Rimkse Toplice A2</t>
  </si>
  <si>
    <t>Rimkse Toplice B2</t>
  </si>
  <si>
    <t>Grobelno 31</t>
  </si>
  <si>
    <t>Grobelno S12</t>
  </si>
  <si>
    <t>Sentjur 32</t>
  </si>
  <si>
    <t>Sentjur 41</t>
  </si>
  <si>
    <t>Sentjur A1</t>
  </si>
  <si>
    <t>Lasko 41</t>
  </si>
  <si>
    <t>Lasko 42</t>
  </si>
  <si>
    <t>Lasko A2</t>
  </si>
  <si>
    <t>Lasko B2</t>
  </si>
  <si>
    <t>Divaca A2</t>
  </si>
  <si>
    <t>Divaca B2</t>
  </si>
  <si>
    <t>Divaca PB2</t>
  </si>
  <si>
    <t>Divaca M3021</t>
  </si>
  <si>
    <t>Bresovica 22</t>
  </si>
  <si>
    <t>Bresovica 51</t>
  </si>
  <si>
    <t>Bresovica B1</t>
  </si>
  <si>
    <t>Borunica 32</t>
  </si>
  <si>
    <t>Borunica 41</t>
  </si>
  <si>
    <t>Borunica 51</t>
  </si>
  <si>
    <t>Borunica 52</t>
  </si>
  <si>
    <t>Borunica 61</t>
  </si>
  <si>
    <t>Borunica 62</t>
  </si>
  <si>
    <t>Borunica B1</t>
  </si>
  <si>
    <t>Cirkovce 12</t>
  </si>
  <si>
    <t>Dolga Gora B2</t>
  </si>
  <si>
    <t>Hodos 11</t>
  </si>
  <si>
    <t>Kidricevo 21</t>
  </si>
  <si>
    <t>Kidricevo 22</t>
  </si>
  <si>
    <t>Kidricevo 31</t>
  </si>
  <si>
    <t>Logatec 32</t>
  </si>
  <si>
    <t>Logatec 52</t>
  </si>
  <si>
    <t>Logatec B2</t>
  </si>
  <si>
    <t>Logatec PB1</t>
  </si>
  <si>
    <t>Pragersko A2</t>
  </si>
  <si>
    <t>Pragersko 91</t>
  </si>
  <si>
    <t>Pragersko 112</t>
  </si>
  <si>
    <t>Pragersko 122</t>
  </si>
  <si>
    <t>Pragersko 132</t>
  </si>
  <si>
    <t>Pragersko 133</t>
  </si>
  <si>
    <t>Pragersko 22</t>
  </si>
  <si>
    <t>Pragersko 32</t>
  </si>
  <si>
    <t>Pragersko 52</t>
  </si>
  <si>
    <t>Pragersko 92</t>
  </si>
  <si>
    <t>Pragersko M2011</t>
  </si>
  <si>
    <t>Pragersko M51</t>
  </si>
  <si>
    <t>Ponikva 11</t>
  </si>
  <si>
    <t>Ponikva 21</t>
  </si>
  <si>
    <t>Ponikva 31</t>
  </si>
  <si>
    <t>Ponikva 22</t>
  </si>
  <si>
    <t>Ponikva 33</t>
  </si>
  <si>
    <t>Ponikva A2</t>
  </si>
  <si>
    <t>Ponikva B2</t>
  </si>
  <si>
    <t>Preserje 21</t>
  </si>
  <si>
    <t>Preserje B2</t>
  </si>
  <si>
    <t>Ptuj K11</t>
  </si>
  <si>
    <t>Ptuj K21</t>
  </si>
  <si>
    <t>Ptuj M1021</t>
  </si>
  <si>
    <t>Ptuj M22</t>
  </si>
  <si>
    <t>Slov Bistrica B2</t>
  </si>
  <si>
    <t>Slov Bistrica PB2</t>
  </si>
  <si>
    <t>Murska Sobota 12</t>
  </si>
  <si>
    <t>Murska Sobota 32</t>
  </si>
  <si>
    <t>NPr 533.0</t>
  </si>
  <si>
    <t>NPr 535.3</t>
  </si>
  <si>
    <t>NPr 559.2</t>
  </si>
  <si>
    <t>NPr 571.8</t>
  </si>
  <si>
    <t>NPr 573.0</t>
  </si>
  <si>
    <t>NPr 618.5</t>
  </si>
  <si>
    <t>Celje-Lasko P71</t>
  </si>
  <si>
    <t>Celje-Lasko PA2</t>
  </si>
  <si>
    <t>Zidani Most - Rimske Toplice PA2</t>
  </si>
  <si>
    <t>Ormoz S42</t>
  </si>
  <si>
    <t>Verd B2</t>
  </si>
  <si>
    <t>Verd PB2</t>
  </si>
  <si>
    <t>failures of red aspect:</t>
  </si>
  <si>
    <t>Rot Lampe ist ausgegangen. Ausfall fuer Sekunden, Minuten (Wartung). Kein Fehler der LEU, keine betriebliche Auswirkung.</t>
  </si>
  <si>
    <t>Nur Diagnose durch LEU</t>
  </si>
  <si>
    <t>Pivka 72</t>
  </si>
  <si>
    <t>Pivka 81</t>
  </si>
  <si>
    <t>Pivka 82</t>
  </si>
  <si>
    <t>Pivka A2</t>
  </si>
  <si>
    <t xml:space="preserve">Rizana 11 </t>
  </si>
  <si>
    <t>Rizana 22</t>
  </si>
  <si>
    <t>Hrastovlje 12</t>
  </si>
  <si>
    <t>Hrastovlje 21</t>
  </si>
  <si>
    <t>Kozina 41</t>
  </si>
  <si>
    <t>Kozina A1</t>
  </si>
  <si>
    <t>Divaca 82</t>
  </si>
  <si>
    <t>Rimske Toplice - Lasko PA2 (signal dark for several hours)</t>
  </si>
  <si>
    <t>Pivka PB2 (signal dark for several hours)</t>
  </si>
  <si>
    <t>Pivka PA2 - signal dark for 12 mins.</t>
  </si>
  <si>
    <t>Celje-Lasko PB2</t>
  </si>
  <si>
    <t>Celje Sentjur PB2 (yellow lamp sometimes off or invalid)</t>
  </si>
  <si>
    <t>Failure of yellow aspect:</t>
  </si>
  <si>
    <t>Ausfall kann betriebliche Auswirkungen haben. Ist aber Betreiberangelegenheit nicht Sache von TAT.</t>
  </si>
  <si>
    <t>Dolga Gora PB2</t>
  </si>
  <si>
    <t xml:space="preserve">CAN bus failures. </t>
  </si>
  <si>
    <t>HW Defekte mit Vielfachheit 1</t>
  </si>
  <si>
    <t>Pivka 12-2 Problem solved.</t>
  </si>
  <si>
    <t>HW-Tausch bereits erfolgt.</t>
  </si>
  <si>
    <t>Rakek 21</t>
  </si>
  <si>
    <t>Rakek 41</t>
  </si>
  <si>
    <t>NPr 575.5</t>
  </si>
  <si>
    <t>Error shut down:</t>
  </si>
  <si>
    <t>Vielfachheit 1</t>
  </si>
  <si>
    <t>HW Probleme (trans/perm); bleibt im shutdown und muss wieder durch manuellen Eingriff entsperrt werden.</t>
  </si>
  <si>
    <t xml:space="preserve">Postojna 151: itest mgr failed Subcode: LEU Software </t>
  </si>
  <si>
    <t>Grobelno A1: Max aspect mismatch, lamp current on input 5 (white cross) not sufficient</t>
  </si>
  <si>
    <t>Unterschiede A/B Kanal. Evt. Lampenstroeme nicht passend.</t>
  </si>
  <si>
    <t>Critical:</t>
  </si>
  <si>
    <t>HW Probleme (trans/perm); schwerer interner LEU Fehler mit Reboot. Wenn er ca. dreimal pro Woche auftritt, geht er in deh Error shut down. (quality values)</t>
  </si>
  <si>
    <t xml:space="preserve">Celje 82: itest mgr failed Subcode: LEU Software </t>
  </si>
  <si>
    <t>Protokoll hinterfragen: Wie erkennt man reboot?</t>
  </si>
  <si>
    <t xml:space="preserve">Cernotice B1: itest mgr failed Subcode: LEU Software </t>
  </si>
  <si>
    <t>Logatec 41: Napaka EEPROM-a Subcode: Napaka  (Code 40027)</t>
  </si>
  <si>
    <t>NPr 49.2: Max. aspect mismatch. Probably problem with external power supply.</t>
  </si>
  <si>
    <t>Configuration error:</t>
  </si>
  <si>
    <t>Bereits behobener Configbug.</t>
  </si>
  <si>
    <t>Kozina 21</t>
  </si>
  <si>
    <t>Aspect 127 when changing from aspect 6 to 7:</t>
  </si>
  <si>
    <t>Zustandswechsel ca. 1,5 Sekunden pro Lampe. Alles innerhalb eines Aspektwechsels von &lt;-= 5 Sek.</t>
  </si>
  <si>
    <t>Instable red aspect:</t>
  </si>
  <si>
    <t>Sentjur 42 (Check lamp current off red lamp) --&gt; LEU in shut down</t>
  </si>
  <si>
    <t>Sentjur B2</t>
  </si>
  <si>
    <t>Kozina 51 (Check lamp current off red lamp)</t>
  </si>
  <si>
    <t>Kozina S32</t>
  </si>
  <si>
    <t>Grobelno A2</t>
  </si>
  <si>
    <t>Grobelno B2</t>
  </si>
  <si>
    <t>Grobelno M2012</t>
  </si>
  <si>
    <t>Grobelno M32</t>
  </si>
  <si>
    <t>Grobelno M41</t>
  </si>
  <si>
    <t>Grobelno PB2</t>
  </si>
  <si>
    <t>Grobelno S41</t>
  </si>
  <si>
    <t>Celje B2</t>
  </si>
  <si>
    <t>Celje K2141</t>
  </si>
  <si>
    <t>Celje K2151</t>
  </si>
  <si>
    <t>Celje K2161</t>
  </si>
  <si>
    <t>Celje K2171</t>
  </si>
  <si>
    <t>Celje K2181</t>
  </si>
  <si>
    <t>Celje 2112</t>
  </si>
  <si>
    <t>Celje 2132</t>
  </si>
  <si>
    <t>Celje 2142</t>
  </si>
  <si>
    <t>Celje 2152</t>
  </si>
  <si>
    <t>Celje 2162</t>
  </si>
  <si>
    <t>Cirkovce 11</t>
  </si>
  <si>
    <t>Hodos 21</t>
  </si>
  <si>
    <t>Pivka K61</t>
  </si>
  <si>
    <t>Pivka KB2</t>
  </si>
  <si>
    <t>Presnica KA1</t>
  </si>
  <si>
    <t>Presnica KB1</t>
  </si>
  <si>
    <t>Ljutomer M12 (only on 28.02.)</t>
  </si>
  <si>
    <t>Logatec 22</t>
  </si>
  <si>
    <t>Logatec 51</t>
  </si>
  <si>
    <t>Logatec A2</t>
  </si>
  <si>
    <t>Divaca PA2 (instable green lamp for 26 mins)</t>
  </si>
  <si>
    <t>Pragersko M2011 (signal dark for 39s)</t>
  </si>
  <si>
    <t>Pragersko M22 (red lamp invalid for 37s)</t>
  </si>
  <si>
    <t>Pragersko M51 (signal dark for 32s)</t>
  </si>
  <si>
    <t>Poljcane A2: Signal dark several times</t>
  </si>
  <si>
    <t>Poljcane PA2: Signal dark several times</t>
  </si>
  <si>
    <t>Poljcane M3031 (signal dark for 39s)</t>
  </si>
  <si>
    <t>Poljcane S11: Signal dark once</t>
  </si>
  <si>
    <t>Poljcane M41: Signal dark once</t>
  </si>
  <si>
    <t>Poljcane PB2: Signal dark once</t>
  </si>
  <si>
    <t>Slov Bistrica 42</t>
  </si>
  <si>
    <t>Sync time expiration:</t>
  </si>
  <si>
    <t>Aspektwechsel dauert zu lange (&gt; 5 Sekunden).</t>
  </si>
  <si>
    <t>Celje A1: When changing from aspect 7 to 13</t>
  </si>
  <si>
    <t>Ausgenommen sind level crossings: (NPR) hoehere gate time, da wegen antivalenter Relais, die in 5 Sekunden TaKt umschalten;</t>
  </si>
  <si>
    <t>Rimske Toplice B1: When changing from aspect 7 to 5</t>
  </si>
  <si>
    <t>Eventuell sind Eintraege hier noch veraltet (falsche Timeout Laengen).</t>
  </si>
  <si>
    <t>Kozina B1: When changing from aspect 7 to 5 and 6 to 5</t>
  </si>
  <si>
    <t>Lasko B2: When changing from aspect 7 to 2</t>
  </si>
  <si>
    <t>Grobelno B3: When changing from aspect 7 to 13</t>
  </si>
  <si>
    <t>Celje K2131: When changing from aspect 6 to 7</t>
  </si>
  <si>
    <t>Celje K161: When changing from aspect 7 to 13</t>
  </si>
  <si>
    <t>Celje K171: When changing from aspect 7 to 13</t>
  </si>
  <si>
    <t>Celje K151: When changing from aspect 7 to 13</t>
  </si>
  <si>
    <t>Pragersko A1: When changing from aspect 7 to 13</t>
  </si>
  <si>
    <t>Pragersko B1: When changing from aspect 7 to 5</t>
  </si>
  <si>
    <t>Pragersko A2: When changing from aspect 7 to 13</t>
  </si>
  <si>
    <t>Pragersko PA1: on aspect 3</t>
  </si>
  <si>
    <t>Pragersko PA2: on aspect 3</t>
  </si>
  <si>
    <t>Slov Bistrica 42: When changing from aspect 7 to 4</t>
  </si>
  <si>
    <t>Slov Bistrica A1: When changing from aspect 7 to 1</t>
  </si>
  <si>
    <t>Slov Bistrica A2: When changing from aspect 7 to 4</t>
  </si>
  <si>
    <t xml:space="preserve">NPr 14.3 on aspect 1 </t>
  </si>
  <si>
    <t>NPr 15.3 on aspect 1</t>
  </si>
  <si>
    <t>NPr 21.7 on aspect 1</t>
  </si>
  <si>
    <t>NPr 23.6 on aspect 1</t>
  </si>
  <si>
    <t>NPr 30.4 between several aspect</t>
  </si>
  <si>
    <t>NPr 35.8 on aspect 1</t>
  </si>
  <si>
    <t>NPr 40.7 between several aspect</t>
  </si>
  <si>
    <t>NPr 44.4 between several aspect</t>
  </si>
  <si>
    <t>NPr 46.3 between several aspect</t>
  </si>
  <si>
    <t>NPr 47.4 between several aspect</t>
  </si>
  <si>
    <t>NPr 49.2 on aspect 1</t>
  </si>
  <si>
    <t>NPr 578.2 between and during aspect 1 and 3</t>
  </si>
  <si>
    <t>NPr 61.6 between aspect 1 and 3</t>
  </si>
  <si>
    <t>NPr 614.4 between several aspects</t>
  </si>
  <si>
    <t>NPr 617.8 between several aspects</t>
  </si>
  <si>
    <t>NPr 65.4 between aspect 1 and 3</t>
  </si>
  <si>
    <t>NPr 11.5 between aspect 1 and 3</t>
  </si>
  <si>
    <t>NPr 5.8 between aspect 1 and 3</t>
  </si>
  <si>
    <t>NPr 22.9 between several aspects</t>
  </si>
  <si>
    <t>NPr 19.7 between several aspects</t>
  </si>
  <si>
    <t>NPr 13.3 between several aspects</t>
  </si>
  <si>
    <t>NPr 17.3 between several aspects</t>
  </si>
  <si>
    <t>NPr 18.6 on aspect 1</t>
  </si>
  <si>
    <t>NPr 26.8 between several aspects</t>
  </si>
  <si>
    <t>NPr 29.8 between several aspects</t>
  </si>
  <si>
    <t>Invalid aspect :</t>
  </si>
  <si>
    <t>Celje B1 (yfl/gfl + arrow)</t>
  </si>
  <si>
    <t>Celje B2 (yfl/gfl + arrow)</t>
  </si>
  <si>
    <t>Celje K2121 (yfl+y+yfl cross)</t>
  </si>
  <si>
    <t>Celje K132 (yfl/gfl + arrow)</t>
  </si>
  <si>
    <t>Transient states od lamp inputs:</t>
  </si>
  <si>
    <t>Rizana B1: Transient state of lamp 4 (y2) at red aspect.</t>
  </si>
  <si>
    <t>Signal</t>
  </si>
  <si>
    <t>Error</t>
  </si>
  <si>
    <t>CAN bus</t>
  </si>
  <si>
    <t>Error shut down</t>
  </si>
  <si>
    <t>Postojna 151</t>
  </si>
  <si>
    <t>Grobelno A1</t>
  </si>
  <si>
    <t>Celje 82</t>
  </si>
  <si>
    <t>Cernotice B1</t>
  </si>
  <si>
    <t>Logatec 41</t>
  </si>
  <si>
    <t>NPr 49.2</t>
  </si>
  <si>
    <t>Aspect 127</t>
  </si>
  <si>
    <t>Sync time expiration</t>
  </si>
  <si>
    <t>Column Labels</t>
  </si>
  <si>
    <t>Grand Total</t>
  </si>
  <si>
    <t>Row Labels</t>
  </si>
  <si>
    <t>Count of Section</t>
  </si>
  <si>
    <t>total</t>
  </si>
  <si>
    <t>i.Base LEU</t>
  </si>
  <si>
    <t>Total
Error</t>
  </si>
  <si>
    <t>betriebsstunden jahr</t>
  </si>
  <si>
    <t>CAN bus HW error</t>
  </si>
  <si>
    <t>HW</t>
  </si>
  <si>
    <t>Downtime total h</t>
  </si>
  <si>
    <t>Downtime permanent failures</t>
  </si>
  <si>
    <t>Downtime transient failures</t>
  </si>
  <si>
    <t>Qty</t>
  </si>
  <si>
    <t>h</t>
  </si>
  <si>
    <t>faktor 5</t>
  </si>
  <si>
    <t>gesamt sys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</si>
</sst>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164" formatCode="###\ ###"/>
    <numFmt numFmtId="165" formatCode="0.0"/>
    <numFmt numFmtId="166" formatCode="###\ ###\ ###\ ###"/>
    <numFmt numFmtId="167" formatCode="##.#"/>
    <numFmt numFmtId="168" formatCode="#\ ###"/>
    <numFmt numFmtId="169" formatCode="##.####"/>
    <numFmt numFmtId="170" formatCode="##\ ####"/>
    <numFmt numFmtId="171" formatCode="0.00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</font>
    <font>
      <sz val="10"/>
      <color theme="1"/>
      <name val="Calibri"/>
      <family val="2"/>
    </font>
    <font>
      <sz val="10"/>
      <color rgb="FF000000"/>
      <name val="Arial"/>
      <family val="2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8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</borders>
  <cellStyleXfs count="7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0" borderId="0"/>
    <xf numFmtId="0" fontId="1" fillId="0" borderId="0"/>
    <xf numFmtId="0" fontId="9" fillId="11" borderId="0" applyNumberFormat="0" applyBorder="0" applyAlignment="0" applyProtection="0"/>
    <xf numFmtId="0" fontId="10" fillId="0" borderId="0"/>
  </cellStyleXfs>
  <cellXfs count="67">
    <xf numFmtId="0" fontId="0" fillId="0" borderId="0" xfId="0"/>
    <xf numFmtId="0" fontId="4" fillId="3" borderId="1" xfId="2" applyFont="1" applyBorder="1" applyAlignment="1">
      <alignment horizontal="center" vertical="center" wrapText="1"/>
    </xf>
    <xf numFmtId="0" fontId="5" fillId="0" borderId="0" xfId="0" applyFont="1"/>
    <xf numFmtId="0" fontId="3" fillId="0" borderId="0" xfId="0" applyFont="1"/>
    <xf numFmtId="0" fontId="3" fillId="0" borderId="0" xfId="3" applyFont="1" applyFill="1"/>
    <xf numFmtId="0" fontId="3" fillId="7" borderId="0" xfId="0" applyFont="1" applyFill="1"/>
    <xf numFmtId="164" fontId="6" fillId="5" borderId="0" xfId="0" applyNumberFormat="1" applyFont="1" applyFill="1" applyBorder="1" applyAlignment="1">
      <alignment vertical="center"/>
    </xf>
    <xf numFmtId="165" fontId="6" fillId="5" borderId="0" xfId="0" applyNumberFormat="1" applyFont="1" applyFill="1" applyBorder="1" applyAlignment="1">
      <alignment vertical="center"/>
    </xf>
    <xf numFmtId="164" fontId="7" fillId="3" borderId="0" xfId="2" applyNumberFormat="1" applyFont="1" applyBorder="1" applyAlignment="1">
      <alignment vertical="center"/>
    </xf>
    <xf numFmtId="165" fontId="7" fillId="3" borderId="0" xfId="2" applyNumberFormat="1" applyFont="1" applyBorder="1" applyAlignment="1">
      <alignment vertical="center"/>
    </xf>
    <xf numFmtId="166" fontId="7" fillId="3" borderId="0" xfId="2" applyNumberFormat="1" applyFont="1" applyBorder="1" applyAlignment="1">
      <alignment vertical="center"/>
    </xf>
    <xf numFmtId="165" fontId="7" fillId="3" borderId="0" xfId="2" applyNumberFormat="1" applyFont="1" applyBorder="1" applyAlignment="1">
      <alignment horizontal="right" vertical="center"/>
    </xf>
    <xf numFmtId="0" fontId="4" fillId="7" borderId="0" xfId="0" applyFont="1" applyFill="1"/>
    <xf numFmtId="169" fontId="7" fillId="3" borderId="0" xfId="2" applyNumberFormat="1" applyFont="1" applyBorder="1" applyAlignment="1">
      <alignment horizontal="right" vertical="center"/>
    </xf>
    <xf numFmtId="169" fontId="6" fillId="5" borderId="0" xfId="0" applyNumberFormat="1" applyFont="1" applyFill="1" applyBorder="1" applyAlignment="1">
      <alignment horizontal="right" vertical="center"/>
    </xf>
    <xf numFmtId="0" fontId="4" fillId="7" borderId="2" xfId="1" applyFont="1" applyFill="1" applyBorder="1" applyAlignment="1">
      <alignment horizontal="right" vertical="center"/>
    </xf>
    <xf numFmtId="0" fontId="4" fillId="8" borderId="1" xfId="2" applyFont="1" applyFill="1" applyBorder="1" applyAlignment="1">
      <alignment horizontal="center" vertical="center" wrapText="1"/>
    </xf>
    <xf numFmtId="0" fontId="3" fillId="2" borderId="2" xfId="1" applyFont="1" applyBorder="1" applyAlignment="1">
      <alignment horizontal="right" vertical="center"/>
    </xf>
    <xf numFmtId="0" fontId="4" fillId="3" borderId="2" xfId="2" applyFont="1" applyBorder="1" applyAlignment="1">
      <alignment horizontal="right" vertical="center"/>
    </xf>
    <xf numFmtId="0" fontId="3" fillId="8" borderId="2" xfId="1" applyFont="1" applyFill="1" applyBorder="1" applyAlignment="1">
      <alignment horizontal="right" vertical="center"/>
    </xf>
    <xf numFmtId="0" fontId="3" fillId="9" borderId="0" xfId="0" applyFont="1" applyFill="1"/>
    <xf numFmtId="0" fontId="4" fillId="9" borderId="0" xfId="0" applyFont="1" applyFill="1"/>
    <xf numFmtId="0" fontId="4" fillId="9" borderId="0" xfId="0" applyFont="1" applyFill="1" applyAlignment="1">
      <alignment vertical="center"/>
    </xf>
    <xf numFmtId="0" fontId="4" fillId="8" borderId="0" xfId="2" applyFont="1" applyFill="1" applyBorder="1" applyAlignment="1">
      <alignment horizontal="center" vertical="center" wrapText="1"/>
    </xf>
    <xf numFmtId="0" fontId="3" fillId="4" borderId="0" xfId="0" applyFont="1" applyFill="1"/>
    <xf numFmtId="0" fontId="0" fillId="8" borderId="0" xfId="0" applyFill="1"/>
    <xf numFmtId="168" fontId="3" fillId="8" borderId="0" xfId="0" applyNumberFormat="1" applyFont="1" applyFill="1"/>
    <xf numFmtId="170" fontId="3" fillId="8" borderId="0" xfId="0" applyNumberFormat="1" applyFont="1" applyFill="1"/>
    <xf numFmtId="165" fontId="3" fillId="8" borderId="0" xfId="0" applyNumberFormat="1" applyFont="1" applyFill="1"/>
    <xf numFmtId="169" fontId="6" fillId="8" borderId="0" xfId="0" applyNumberFormat="1" applyFont="1" applyFill="1" applyBorder="1" applyAlignment="1">
      <alignment horizontal="right" vertical="center"/>
    </xf>
    <xf numFmtId="165" fontId="7" fillId="8" borderId="0" xfId="2" applyNumberFormat="1" applyFont="1" applyFill="1" applyBorder="1" applyAlignment="1">
      <alignment horizontal="right" vertical="center"/>
    </xf>
    <xf numFmtId="0" fontId="3" fillId="8" borderId="0" xfId="0" applyFont="1" applyFill="1"/>
    <xf numFmtId="0" fontId="4" fillId="9" borderId="2" xfId="1" applyFont="1" applyFill="1" applyBorder="1" applyAlignment="1">
      <alignment horizontal="right" vertical="center"/>
    </xf>
    <xf numFmtId="167" fontId="7" fillId="5" borderId="0" xfId="2" applyNumberFormat="1" applyFont="1" applyFill="1" applyBorder="1" applyAlignment="1">
      <alignment horizontal="right" vertical="center"/>
    </xf>
    <xf numFmtId="165" fontId="7" fillId="5" borderId="0" xfId="2" applyNumberFormat="1" applyFont="1" applyFill="1" applyBorder="1" applyAlignment="1">
      <alignment horizontal="right" vertical="center"/>
    </xf>
    <xf numFmtId="0" fontId="4" fillId="0" borderId="0" xfId="3" applyFont="1" applyFill="1" applyAlignment="1">
      <alignment horizontal="right"/>
    </xf>
    <xf numFmtId="0" fontId="3" fillId="10" borderId="0" xfId="3" applyFont="1" applyFill="1"/>
    <xf numFmtId="0" fontId="4" fillId="10" borderId="2" xfId="1" applyFont="1" applyFill="1" applyBorder="1" applyAlignment="1">
      <alignment horizontal="center" vertical="center"/>
    </xf>
    <xf numFmtId="171" fontId="6" fillId="8" borderId="0" xfId="0" applyNumberFormat="1" applyFont="1" applyFill="1" applyBorder="1" applyAlignment="1">
      <alignment horizontal="right" vertical="center"/>
    </xf>
    <xf numFmtId="1" fontId="5" fillId="0" borderId="0" xfId="0" applyNumberFormat="1" applyFont="1"/>
    <xf numFmtId="0" fontId="4" fillId="10" borderId="2" xfId="1" applyFont="1" applyFill="1" applyBorder="1" applyAlignment="1">
      <alignment horizontal="left" vertical="center"/>
    </xf>
    <xf numFmtId="0" fontId="8" fillId="0" borderId="0" xfId="0" applyFont="1" applyFill="1" applyBorder="1" applyAlignment="1">
      <alignment horizontal="left" vertical="center" indent="3"/>
    </xf>
    <xf numFmtId="0" fontId="8" fillId="0" borderId="0" xfId="0" applyFont="1" applyBorder="1" applyAlignment="1">
      <alignment horizontal="left" vertical="center" indent="3"/>
    </xf>
    <xf numFmtId="0" fontId="10" fillId="0" borderId="0" xfId="6" applyFont="1"/>
    <xf numFmtId="0" fontId="10" fillId="0" borderId="0" xfId="6"/>
    <xf numFmtId="0" fontId="0" fillId="12" borderId="0" xfId="0" applyFill="1"/>
    <xf numFmtId="0" fontId="0" fillId="5" borderId="0" xfId="0" applyFill="1"/>
    <xf numFmtId="0" fontId="9" fillId="11" borderId="0" xfId="5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3" fillId="10" borderId="0" xfId="0" applyFont="1" applyFill="1"/>
    <xf numFmtId="0" fontId="3" fillId="13" borderId="0" xfId="0" applyFont="1" applyFill="1"/>
    <xf numFmtId="0" fontId="4" fillId="13" borderId="0" xfId="3" applyFont="1" applyFill="1" applyAlignment="1">
      <alignment horizontal="right"/>
    </xf>
    <xf numFmtId="0" fontId="4" fillId="13" borderId="2" xfId="1" applyFont="1" applyFill="1" applyBorder="1" applyAlignment="1">
      <alignment horizontal="right" vertical="center" wrapText="1"/>
    </xf>
    <xf numFmtId="0" fontId="3" fillId="10" borderId="3" xfId="3" applyFont="1" applyFill="1" applyBorder="1" applyAlignment="1">
      <alignment textRotation="90"/>
    </xf>
    <xf numFmtId="0" fontId="3" fillId="10" borderId="0" xfId="3" applyFont="1" applyFill="1" applyBorder="1" applyAlignment="1">
      <alignment textRotation="90"/>
    </xf>
    <xf numFmtId="0" fontId="4" fillId="12" borderId="2" xfId="1" applyFont="1" applyFill="1" applyBorder="1" applyAlignment="1">
      <alignment horizontal="center" vertical="center" wrapText="1"/>
    </xf>
    <xf numFmtId="168" fontId="3" fillId="12" borderId="0" xfId="0" applyNumberFormat="1" applyFont="1" applyFill="1"/>
    <xf numFmtId="165" fontId="3" fillId="10" borderId="0" xfId="0" applyNumberFormat="1" applyFont="1" applyFill="1"/>
    <xf numFmtId="0" fontId="3" fillId="10" borderId="0" xfId="0" applyFont="1" applyFill="1" applyAlignment="1">
      <alignment horizontal="center"/>
    </xf>
    <xf numFmtId="0" fontId="11" fillId="13" borderId="0" xfId="0" applyFont="1" applyFill="1"/>
    <xf numFmtId="0" fontId="4" fillId="8" borderId="0" xfId="0" applyFont="1" applyFill="1" applyAlignment="1">
      <alignment horizontal="center"/>
    </xf>
    <xf numFmtId="0" fontId="4" fillId="10" borderId="2" xfId="1" applyFont="1" applyFill="1" applyBorder="1" applyAlignment="1">
      <alignment horizontal="center" vertical="top"/>
    </xf>
    <xf numFmtId="0" fontId="4" fillId="6" borderId="0" xfId="0" applyFont="1" applyFill="1" applyAlignment="1">
      <alignment horizontal="center"/>
    </xf>
    <xf numFmtId="0" fontId="4" fillId="3" borderId="1" xfId="2" applyFont="1" applyBorder="1" applyAlignment="1">
      <alignment horizontal="center" vertical="center" wrapText="1"/>
    </xf>
    <xf numFmtId="0" fontId="2" fillId="7" borderId="0" xfId="0" applyFont="1" applyFill="1" applyAlignment="1">
      <alignment horizontal="center" vertical="center"/>
    </xf>
  </cellXfs>
  <cellStyles count="7">
    <cellStyle name="20% - Accent6" xfId="1" builtinId="50"/>
    <cellStyle name="40% - Accent6" xfId="2" builtinId="51"/>
    <cellStyle name="Accent1" xfId="5" builtinId="29"/>
    <cellStyle name="Normal" xfId="0" builtinId="0"/>
    <cellStyle name="Normal 2" xfId="6"/>
    <cellStyle name="Normal 3" xfId="3"/>
    <cellStyle name="Normal 4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ORG/RL/Produkte/ETCS/ETCS_L1_Slowenien/RAM_Ana_ETCS_L1_Slovenia_P1P2/Ed.02/final/RAM_Ana_Calc_ETCS_L1_Slovenia_3BU_82800_5000_DUAPA_Ed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ilure Rates"/>
      <sheetName val="LEU Logical Equations"/>
      <sheetName val="Settings"/>
      <sheetName val="P1 PK-SZ"/>
      <sheetName val="P2 MS-HD"/>
      <sheetName val="S1 LJ-PK"/>
      <sheetName val="S2 ZM-PG"/>
      <sheetName val="S3 ZM-LJ"/>
      <sheetName val="S4 DI-KO"/>
      <sheetName val="S5 PG-MS"/>
      <sheetName val="Balises"/>
    </sheetNames>
    <sheetDataSet>
      <sheetData sheetId="0">
        <row r="3">
          <cell r="C3">
            <v>376</v>
          </cell>
          <cell r="D3">
            <v>708</v>
          </cell>
        </row>
        <row r="10">
          <cell r="C10">
            <v>1469</v>
          </cell>
          <cell r="D10">
            <v>3813</v>
          </cell>
        </row>
        <row r="31">
          <cell r="C31">
            <v>424</v>
          </cell>
          <cell r="D31">
            <v>956</v>
          </cell>
        </row>
      </sheetData>
      <sheetData sheetId="1"/>
      <sheetData sheetId="2">
        <row r="1">
          <cell r="B1">
            <v>1.0000000000000001E-9</v>
          </cell>
        </row>
        <row r="2">
          <cell r="B2">
            <v>4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MOSER Florian" refreshedDate="42523.414605787038" createdVersion="4" refreshedVersion="4" minRefreshableVersion="3" recordCount="167">
  <cacheSource type="worksheet">
    <worksheetSource ref="A1:C168" sheet="Error Sum"/>
  </cacheSource>
  <cacheFields count="3">
    <cacheField name="Error" numFmtId="0">
      <sharedItems count="6">
        <s v="Balise disconnect"/>
        <s v="CAN bus"/>
        <s v="Error shut down"/>
        <s v="Critical"/>
        <s v="Aspect 127"/>
        <s v="Sync time expiration"/>
      </sharedItems>
    </cacheField>
    <cacheField name="Signal" numFmtId="0">
      <sharedItems count="163">
        <s v="Celje M2011"/>
        <s v="Celje M21"/>
        <s v="Celje S71"/>
        <s v="Celje 31"/>
        <s v="Celje 41"/>
        <s v="Celje 61"/>
        <s v="Celje SK22"/>
        <s v="Celje K32"/>
        <s v="Celje K62"/>
        <s v="Celje K82"/>
        <s v="Celje K311"/>
        <s v="Celje K161"/>
        <s v="Celje K172"/>
        <s v="Celje 302"/>
        <s v="Pivka 11"/>
        <s v="Pivka 12"/>
        <s v="Pivka 12-1"/>
        <s v="Pivka 21"/>
        <s v="Pivka 22"/>
        <s v="Pivka 31"/>
        <s v="Pivka 41"/>
        <s v="Pivka 62"/>
        <s v="Pivka B1"/>
        <s v="Pivka B2"/>
        <s v="Pivka K32"/>
        <s v="Pivka PA2"/>
        <s v="Pivka PB1"/>
        <s v="Pivka PB2"/>
        <s v="Rimske Toplice 21"/>
        <s v="Rimske Toplice 22"/>
        <s v="Rimske Toplice 31"/>
        <s v="Rimkse Toplice 42"/>
        <s v="Rimkse Toplice 61"/>
        <s v="Rimkse Toplice A1"/>
        <s v="Rimkse Toplice A2"/>
        <s v="Rimkse Toplice B2"/>
        <s v="Grobelno 31"/>
        <s v="Grobelno S12"/>
        <s v="Sentjur 32"/>
        <s v="Sentjur 41"/>
        <s v="Sentjur A1"/>
        <s v="Lasko 41"/>
        <s v="Lasko 42"/>
        <s v="Lasko A2"/>
        <s v="Lasko B2"/>
        <s v="Divaca A2"/>
        <s v="Divaca B2"/>
        <s v="Divaca PB2"/>
        <s v="Divaca M3021"/>
        <s v="Bresovica 22"/>
        <s v="Bresovica 51"/>
        <s v="Bresovica B1"/>
        <s v="Borunica 32"/>
        <s v="Borunica 41"/>
        <s v="Borunica 51"/>
        <s v="Borunica 52"/>
        <s v="Borunica 61"/>
        <s v="Borunica 62"/>
        <s v="Borunica B1"/>
        <s v="Cirkovce 12"/>
        <s v="Dolga Gora B2"/>
        <s v="Hodos 11"/>
        <s v="Kidricevo 21"/>
        <s v="Kidricevo 22"/>
        <s v="Kidricevo 31"/>
        <s v="Logatec 32"/>
        <s v="Logatec 52"/>
        <s v="Logatec B2"/>
        <s v="Logatec PB1"/>
        <s v="Pragersko A2"/>
        <s v="Pragersko 91"/>
        <s v="Pragersko 112"/>
        <s v="Pragersko 122"/>
        <s v="Pragersko 132"/>
        <s v="Pragersko 133"/>
        <s v="Pragersko 22"/>
        <s v="Pragersko 32"/>
        <s v="Pragersko 52"/>
        <s v="Pragersko 92"/>
        <s v="Pragersko M2011"/>
        <s v="Pragersko M51"/>
        <s v="Ponikva 11"/>
        <s v="Ponikva 21"/>
        <s v="Ponikva 31"/>
        <s v="Ponikva 22"/>
        <s v="Ponikva 33"/>
        <s v="Ponikva A2"/>
        <s v="Ponikva B2"/>
        <s v="Preserje 21"/>
        <s v="Preserje B2"/>
        <s v="Ptuj K11"/>
        <s v="Ptuj K21"/>
        <s v="Ptuj M1021"/>
        <s v="Ptuj M22"/>
        <s v="Slov Bistrica B2"/>
        <s v="Slov Bistrica PB2"/>
        <s v="Murska Sobota 12"/>
        <s v="Murska Sobota 32"/>
        <s v="NPr 533.0"/>
        <s v="NPr 535.3"/>
        <s v="NPr 559.2"/>
        <s v="NPr 571.8"/>
        <s v="NPr 573.0"/>
        <s v="NPr 618.5"/>
        <s v="Celje-Lasko P71"/>
        <s v="Celje-Lasko PA2"/>
        <s v="Zidani Most - Rimske Toplice PA2"/>
        <s v="Ormoz S42"/>
        <s v="Verd B2"/>
        <s v="Verd PB2"/>
        <s v="Pivka 12-2 Problem solved."/>
        <s v="Hrastovlje 12"/>
        <s v="Rakek 21"/>
        <s v="Rakek 41"/>
        <s v="NPr 575.5"/>
        <s v="Postojna 151"/>
        <s v="Grobelno A1"/>
        <s v="Celje 82"/>
        <s v="Cernotice B1"/>
        <s v="Logatec 41"/>
        <s v="NPr 49.2"/>
        <s v="Celje A1: When changing from aspect 7 to 13"/>
        <s v="Rimske Toplice B1: When changing from aspect 7 to 5"/>
        <s v="Kozina B1: When changing from aspect 7 to 5 and 6 to 5"/>
        <s v="Lasko B2: When changing from aspect 7 to 2"/>
        <s v="Grobelno B3: When changing from aspect 7 to 13"/>
        <s v="Celje K2131: When changing from aspect 6 to 7"/>
        <s v="Celje K161: When changing from aspect 7 to 13"/>
        <s v="Celje K171: When changing from aspect 7 to 13"/>
        <s v="Celje K151: When changing from aspect 7 to 13"/>
        <s v="Pragersko A1: When changing from aspect 7 to 13"/>
        <s v="Pragersko B1: When changing from aspect 7 to 5"/>
        <s v="Pragersko A2: When changing from aspect 7 to 13"/>
        <s v="Pragersko PA1: on aspect 3"/>
        <s v="Pragersko PA2: on aspect 3"/>
        <s v="Slov Bistrica 42: When changing from aspect 7 to 4"/>
        <s v="Slov Bistrica A1: When changing from aspect 7 to 1"/>
        <s v="Slov Bistrica A2: When changing from aspect 7 to 4"/>
        <s v="NPr 14.3 on aspect 1 "/>
        <s v="NPr 15.3 on aspect 1"/>
        <s v="NPr 21.7 on aspect 1"/>
        <s v="NPr 23.6 on aspect 1"/>
        <s v="NPr 30.4 between several aspect"/>
        <s v="NPr 35.8 on aspect 1"/>
        <s v="NPr 40.7 between several aspect"/>
        <s v="NPr 44.4 between several aspect"/>
        <s v="NPr 46.3 between several aspect"/>
        <s v="NPr 47.4 between several aspect"/>
        <s v="NPr 49.2 on aspect 1"/>
        <s v="NPr 578.2 between and during aspect 1 and 3"/>
        <s v="NPr 61.6 between aspect 1 and 3"/>
        <s v="NPr 614.4 between several aspects"/>
        <s v="NPr 617.8 between several aspects"/>
        <s v="NPr 65.4 between aspect 1 and 3"/>
        <s v="NPr 11.5 between aspect 1 and 3"/>
        <s v="NPr 5.8 between aspect 1 and 3"/>
        <s v="NPr 22.9 between several aspects"/>
        <s v="NPr 19.7 between several aspects"/>
        <s v="NPr 13.3 between several aspects"/>
        <s v="NPr 17.3 between several aspects"/>
        <s v="NPr 18.6 on aspect 1"/>
        <s v="NPr 26.8 between several aspects"/>
        <s v="NPr 29.8 between several aspects"/>
      </sharedItems>
    </cacheField>
    <cacheField name="Section" numFmtId="0">
      <sharedItems count="7">
        <s v="S2"/>
        <s v="P1"/>
        <s v="S4"/>
        <s v="S1"/>
        <s v="S5"/>
        <s v="P2"/>
        <s v="S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67">
  <r>
    <x v="0"/>
    <x v="0"/>
    <x v="0"/>
  </r>
  <r>
    <x v="0"/>
    <x v="1"/>
    <x v="0"/>
  </r>
  <r>
    <x v="0"/>
    <x v="2"/>
    <x v="0"/>
  </r>
  <r>
    <x v="0"/>
    <x v="3"/>
    <x v="0"/>
  </r>
  <r>
    <x v="0"/>
    <x v="4"/>
    <x v="0"/>
  </r>
  <r>
    <x v="0"/>
    <x v="5"/>
    <x v="0"/>
  </r>
  <r>
    <x v="0"/>
    <x v="6"/>
    <x v="0"/>
  </r>
  <r>
    <x v="0"/>
    <x v="7"/>
    <x v="0"/>
  </r>
  <r>
    <x v="0"/>
    <x v="8"/>
    <x v="0"/>
  </r>
  <r>
    <x v="0"/>
    <x v="9"/>
    <x v="0"/>
  </r>
  <r>
    <x v="0"/>
    <x v="10"/>
    <x v="0"/>
  </r>
  <r>
    <x v="0"/>
    <x v="11"/>
    <x v="0"/>
  </r>
  <r>
    <x v="0"/>
    <x v="12"/>
    <x v="0"/>
  </r>
  <r>
    <x v="0"/>
    <x v="13"/>
    <x v="0"/>
  </r>
  <r>
    <x v="0"/>
    <x v="14"/>
    <x v="1"/>
  </r>
  <r>
    <x v="0"/>
    <x v="15"/>
    <x v="1"/>
  </r>
  <r>
    <x v="0"/>
    <x v="16"/>
    <x v="1"/>
  </r>
  <r>
    <x v="0"/>
    <x v="17"/>
    <x v="1"/>
  </r>
  <r>
    <x v="0"/>
    <x v="18"/>
    <x v="1"/>
  </r>
  <r>
    <x v="0"/>
    <x v="19"/>
    <x v="1"/>
  </r>
  <r>
    <x v="0"/>
    <x v="20"/>
    <x v="1"/>
  </r>
  <r>
    <x v="0"/>
    <x v="21"/>
    <x v="1"/>
  </r>
  <r>
    <x v="0"/>
    <x v="22"/>
    <x v="1"/>
  </r>
  <r>
    <x v="0"/>
    <x v="23"/>
    <x v="1"/>
  </r>
  <r>
    <x v="0"/>
    <x v="24"/>
    <x v="1"/>
  </r>
  <r>
    <x v="0"/>
    <x v="25"/>
    <x v="1"/>
  </r>
  <r>
    <x v="0"/>
    <x v="26"/>
    <x v="1"/>
  </r>
  <r>
    <x v="0"/>
    <x v="27"/>
    <x v="1"/>
  </r>
  <r>
    <x v="0"/>
    <x v="28"/>
    <x v="0"/>
  </r>
  <r>
    <x v="0"/>
    <x v="29"/>
    <x v="0"/>
  </r>
  <r>
    <x v="0"/>
    <x v="30"/>
    <x v="0"/>
  </r>
  <r>
    <x v="0"/>
    <x v="31"/>
    <x v="0"/>
  </r>
  <r>
    <x v="0"/>
    <x v="32"/>
    <x v="0"/>
  </r>
  <r>
    <x v="0"/>
    <x v="33"/>
    <x v="0"/>
  </r>
  <r>
    <x v="0"/>
    <x v="34"/>
    <x v="0"/>
  </r>
  <r>
    <x v="0"/>
    <x v="35"/>
    <x v="0"/>
  </r>
  <r>
    <x v="0"/>
    <x v="36"/>
    <x v="0"/>
  </r>
  <r>
    <x v="0"/>
    <x v="37"/>
    <x v="0"/>
  </r>
  <r>
    <x v="0"/>
    <x v="38"/>
    <x v="0"/>
  </r>
  <r>
    <x v="0"/>
    <x v="39"/>
    <x v="0"/>
  </r>
  <r>
    <x v="0"/>
    <x v="40"/>
    <x v="0"/>
  </r>
  <r>
    <x v="0"/>
    <x v="41"/>
    <x v="0"/>
  </r>
  <r>
    <x v="0"/>
    <x v="42"/>
    <x v="0"/>
  </r>
  <r>
    <x v="0"/>
    <x v="43"/>
    <x v="0"/>
  </r>
  <r>
    <x v="0"/>
    <x v="44"/>
    <x v="0"/>
  </r>
  <r>
    <x v="0"/>
    <x v="45"/>
    <x v="2"/>
  </r>
  <r>
    <x v="0"/>
    <x v="46"/>
    <x v="2"/>
  </r>
  <r>
    <x v="0"/>
    <x v="47"/>
    <x v="2"/>
  </r>
  <r>
    <x v="0"/>
    <x v="48"/>
    <x v="2"/>
  </r>
  <r>
    <x v="0"/>
    <x v="49"/>
    <x v="3"/>
  </r>
  <r>
    <x v="0"/>
    <x v="50"/>
    <x v="3"/>
  </r>
  <r>
    <x v="0"/>
    <x v="51"/>
    <x v="3"/>
  </r>
  <r>
    <x v="0"/>
    <x v="52"/>
    <x v="3"/>
  </r>
  <r>
    <x v="0"/>
    <x v="53"/>
    <x v="3"/>
  </r>
  <r>
    <x v="0"/>
    <x v="54"/>
    <x v="3"/>
  </r>
  <r>
    <x v="0"/>
    <x v="55"/>
    <x v="3"/>
  </r>
  <r>
    <x v="0"/>
    <x v="56"/>
    <x v="3"/>
  </r>
  <r>
    <x v="0"/>
    <x v="57"/>
    <x v="3"/>
  </r>
  <r>
    <x v="0"/>
    <x v="58"/>
    <x v="3"/>
  </r>
  <r>
    <x v="0"/>
    <x v="59"/>
    <x v="4"/>
  </r>
  <r>
    <x v="0"/>
    <x v="60"/>
    <x v="0"/>
  </r>
  <r>
    <x v="0"/>
    <x v="61"/>
    <x v="5"/>
  </r>
  <r>
    <x v="0"/>
    <x v="62"/>
    <x v="4"/>
  </r>
  <r>
    <x v="0"/>
    <x v="63"/>
    <x v="4"/>
  </r>
  <r>
    <x v="0"/>
    <x v="64"/>
    <x v="4"/>
  </r>
  <r>
    <x v="0"/>
    <x v="65"/>
    <x v="3"/>
  </r>
  <r>
    <x v="0"/>
    <x v="66"/>
    <x v="3"/>
  </r>
  <r>
    <x v="0"/>
    <x v="67"/>
    <x v="3"/>
  </r>
  <r>
    <x v="0"/>
    <x v="68"/>
    <x v="3"/>
  </r>
  <r>
    <x v="0"/>
    <x v="69"/>
    <x v="0"/>
  </r>
  <r>
    <x v="0"/>
    <x v="70"/>
    <x v="0"/>
  </r>
  <r>
    <x v="0"/>
    <x v="71"/>
    <x v="0"/>
  </r>
  <r>
    <x v="0"/>
    <x v="72"/>
    <x v="0"/>
  </r>
  <r>
    <x v="0"/>
    <x v="73"/>
    <x v="0"/>
  </r>
  <r>
    <x v="0"/>
    <x v="74"/>
    <x v="0"/>
  </r>
  <r>
    <x v="0"/>
    <x v="75"/>
    <x v="0"/>
  </r>
  <r>
    <x v="0"/>
    <x v="76"/>
    <x v="0"/>
  </r>
  <r>
    <x v="0"/>
    <x v="77"/>
    <x v="0"/>
  </r>
  <r>
    <x v="0"/>
    <x v="78"/>
    <x v="0"/>
  </r>
  <r>
    <x v="0"/>
    <x v="79"/>
    <x v="0"/>
  </r>
  <r>
    <x v="0"/>
    <x v="80"/>
    <x v="0"/>
  </r>
  <r>
    <x v="0"/>
    <x v="81"/>
    <x v="0"/>
  </r>
  <r>
    <x v="0"/>
    <x v="82"/>
    <x v="0"/>
  </r>
  <r>
    <x v="0"/>
    <x v="83"/>
    <x v="0"/>
  </r>
  <r>
    <x v="0"/>
    <x v="84"/>
    <x v="0"/>
  </r>
  <r>
    <x v="0"/>
    <x v="85"/>
    <x v="0"/>
  </r>
  <r>
    <x v="0"/>
    <x v="86"/>
    <x v="0"/>
  </r>
  <r>
    <x v="0"/>
    <x v="87"/>
    <x v="0"/>
  </r>
  <r>
    <x v="0"/>
    <x v="88"/>
    <x v="3"/>
  </r>
  <r>
    <x v="0"/>
    <x v="89"/>
    <x v="3"/>
  </r>
  <r>
    <x v="0"/>
    <x v="90"/>
    <x v="4"/>
  </r>
  <r>
    <x v="0"/>
    <x v="91"/>
    <x v="4"/>
  </r>
  <r>
    <x v="0"/>
    <x v="92"/>
    <x v="4"/>
  </r>
  <r>
    <x v="0"/>
    <x v="93"/>
    <x v="4"/>
  </r>
  <r>
    <x v="0"/>
    <x v="94"/>
    <x v="0"/>
  </r>
  <r>
    <x v="0"/>
    <x v="95"/>
    <x v="0"/>
  </r>
  <r>
    <x v="0"/>
    <x v="96"/>
    <x v="5"/>
  </r>
  <r>
    <x v="0"/>
    <x v="97"/>
    <x v="5"/>
  </r>
  <r>
    <x v="0"/>
    <x v="98"/>
    <x v="0"/>
  </r>
  <r>
    <x v="0"/>
    <x v="99"/>
    <x v="0"/>
  </r>
  <r>
    <x v="0"/>
    <x v="100"/>
    <x v="0"/>
  </r>
  <r>
    <x v="0"/>
    <x v="101"/>
    <x v="0"/>
  </r>
  <r>
    <x v="0"/>
    <x v="102"/>
    <x v="0"/>
  </r>
  <r>
    <x v="0"/>
    <x v="103"/>
    <x v="0"/>
  </r>
  <r>
    <x v="0"/>
    <x v="104"/>
    <x v="3"/>
  </r>
  <r>
    <x v="0"/>
    <x v="105"/>
    <x v="3"/>
  </r>
  <r>
    <x v="0"/>
    <x v="106"/>
    <x v="6"/>
  </r>
  <r>
    <x v="0"/>
    <x v="107"/>
    <x v="4"/>
  </r>
  <r>
    <x v="0"/>
    <x v="108"/>
    <x v="3"/>
  </r>
  <r>
    <x v="0"/>
    <x v="109"/>
    <x v="3"/>
  </r>
  <r>
    <x v="1"/>
    <x v="110"/>
    <x v="1"/>
  </r>
  <r>
    <x v="1"/>
    <x v="111"/>
    <x v="2"/>
  </r>
  <r>
    <x v="1"/>
    <x v="49"/>
    <x v="3"/>
  </r>
  <r>
    <x v="1"/>
    <x v="5"/>
    <x v="0"/>
  </r>
  <r>
    <x v="1"/>
    <x v="12"/>
    <x v="0"/>
  </r>
  <r>
    <x v="1"/>
    <x v="112"/>
    <x v="3"/>
  </r>
  <r>
    <x v="1"/>
    <x v="113"/>
    <x v="3"/>
  </r>
  <r>
    <x v="1"/>
    <x v="114"/>
    <x v="0"/>
  </r>
  <r>
    <x v="2"/>
    <x v="115"/>
    <x v="3"/>
  </r>
  <r>
    <x v="2"/>
    <x v="116"/>
    <x v="0"/>
  </r>
  <r>
    <x v="3"/>
    <x v="117"/>
    <x v="0"/>
  </r>
  <r>
    <x v="3"/>
    <x v="118"/>
    <x v="2"/>
  </r>
  <r>
    <x v="3"/>
    <x v="119"/>
    <x v="3"/>
  </r>
  <r>
    <x v="3"/>
    <x v="120"/>
    <x v="0"/>
  </r>
  <r>
    <x v="4"/>
    <x v="36"/>
    <x v="0"/>
  </r>
  <r>
    <x v="5"/>
    <x v="121"/>
    <x v="0"/>
  </r>
  <r>
    <x v="5"/>
    <x v="122"/>
    <x v="0"/>
  </r>
  <r>
    <x v="5"/>
    <x v="123"/>
    <x v="2"/>
  </r>
  <r>
    <x v="5"/>
    <x v="124"/>
    <x v="0"/>
  </r>
  <r>
    <x v="5"/>
    <x v="125"/>
    <x v="0"/>
  </r>
  <r>
    <x v="5"/>
    <x v="126"/>
    <x v="0"/>
  </r>
  <r>
    <x v="5"/>
    <x v="127"/>
    <x v="0"/>
  </r>
  <r>
    <x v="5"/>
    <x v="128"/>
    <x v="0"/>
  </r>
  <r>
    <x v="5"/>
    <x v="129"/>
    <x v="0"/>
  </r>
  <r>
    <x v="5"/>
    <x v="130"/>
    <x v="0"/>
  </r>
  <r>
    <x v="5"/>
    <x v="131"/>
    <x v="0"/>
  </r>
  <r>
    <x v="5"/>
    <x v="132"/>
    <x v="0"/>
  </r>
  <r>
    <x v="5"/>
    <x v="133"/>
    <x v="0"/>
  </r>
  <r>
    <x v="5"/>
    <x v="134"/>
    <x v="0"/>
  </r>
  <r>
    <x v="5"/>
    <x v="135"/>
    <x v="0"/>
  </r>
  <r>
    <x v="5"/>
    <x v="136"/>
    <x v="0"/>
  </r>
  <r>
    <x v="5"/>
    <x v="137"/>
    <x v="0"/>
  </r>
  <r>
    <x v="5"/>
    <x v="138"/>
    <x v="0"/>
  </r>
  <r>
    <x v="5"/>
    <x v="139"/>
    <x v="0"/>
  </r>
  <r>
    <x v="5"/>
    <x v="140"/>
    <x v="0"/>
  </r>
  <r>
    <x v="5"/>
    <x v="141"/>
    <x v="0"/>
  </r>
  <r>
    <x v="5"/>
    <x v="142"/>
    <x v="0"/>
  </r>
  <r>
    <x v="5"/>
    <x v="143"/>
    <x v="0"/>
  </r>
  <r>
    <x v="5"/>
    <x v="144"/>
    <x v="0"/>
  </r>
  <r>
    <x v="5"/>
    <x v="145"/>
    <x v="0"/>
  </r>
  <r>
    <x v="5"/>
    <x v="146"/>
    <x v="0"/>
  </r>
  <r>
    <x v="5"/>
    <x v="147"/>
    <x v="0"/>
  </r>
  <r>
    <x v="5"/>
    <x v="148"/>
    <x v="0"/>
  </r>
  <r>
    <x v="5"/>
    <x v="149"/>
    <x v="0"/>
  </r>
  <r>
    <x v="5"/>
    <x v="150"/>
    <x v="0"/>
  </r>
  <r>
    <x v="5"/>
    <x v="151"/>
    <x v="0"/>
  </r>
  <r>
    <x v="5"/>
    <x v="152"/>
    <x v="0"/>
  </r>
  <r>
    <x v="5"/>
    <x v="153"/>
    <x v="0"/>
  </r>
  <r>
    <x v="5"/>
    <x v="154"/>
    <x v="0"/>
  </r>
  <r>
    <x v="5"/>
    <x v="155"/>
    <x v="0"/>
  </r>
  <r>
    <x v="5"/>
    <x v="156"/>
    <x v="0"/>
  </r>
  <r>
    <x v="5"/>
    <x v="157"/>
    <x v="0"/>
  </r>
  <r>
    <x v="5"/>
    <x v="158"/>
    <x v="0"/>
  </r>
  <r>
    <x v="5"/>
    <x v="159"/>
    <x v="0"/>
  </r>
  <r>
    <x v="5"/>
    <x v="160"/>
    <x v="0"/>
  </r>
  <r>
    <x v="5"/>
    <x v="161"/>
    <x v="0"/>
  </r>
  <r>
    <x v="5"/>
    <x v="16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5" cacheId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I11" firstHeaderRow="1" firstDataRow="2" firstDataCol="1"/>
  <pivotFields count="3">
    <pivotField axis="axisRow" showAll="0">
      <items count="7">
        <item x="4"/>
        <item x="0"/>
        <item x="1"/>
        <item x="3"/>
        <item x="2"/>
        <item x="5"/>
        <item t="default"/>
      </items>
    </pivotField>
    <pivotField showAll="0">
      <items count="164">
        <item x="52"/>
        <item x="53"/>
        <item x="54"/>
        <item x="55"/>
        <item x="56"/>
        <item x="57"/>
        <item x="58"/>
        <item x="49"/>
        <item x="50"/>
        <item x="51"/>
        <item x="13"/>
        <item x="3"/>
        <item x="4"/>
        <item x="5"/>
        <item x="117"/>
        <item x="121"/>
        <item x="129"/>
        <item x="11"/>
        <item x="127"/>
        <item x="128"/>
        <item x="12"/>
        <item x="126"/>
        <item x="10"/>
        <item x="7"/>
        <item x="8"/>
        <item x="9"/>
        <item x="0"/>
        <item x="1"/>
        <item x="2"/>
        <item x="6"/>
        <item x="104"/>
        <item x="105"/>
        <item x="118"/>
        <item x="59"/>
        <item x="45"/>
        <item x="46"/>
        <item x="48"/>
        <item x="47"/>
        <item x="60"/>
        <item x="36"/>
        <item x="116"/>
        <item x="125"/>
        <item x="37"/>
        <item x="61"/>
        <item x="111"/>
        <item x="62"/>
        <item x="63"/>
        <item x="64"/>
        <item x="123"/>
        <item x="41"/>
        <item x="42"/>
        <item x="43"/>
        <item x="44"/>
        <item x="124"/>
        <item x="65"/>
        <item x="119"/>
        <item x="66"/>
        <item x="67"/>
        <item x="68"/>
        <item x="96"/>
        <item x="97"/>
        <item x="154"/>
        <item x="158"/>
        <item x="138"/>
        <item x="139"/>
        <item x="159"/>
        <item x="160"/>
        <item x="157"/>
        <item x="140"/>
        <item x="156"/>
        <item x="141"/>
        <item x="161"/>
        <item x="162"/>
        <item x="142"/>
        <item x="143"/>
        <item x="144"/>
        <item x="145"/>
        <item x="146"/>
        <item x="147"/>
        <item x="120"/>
        <item x="148"/>
        <item x="155"/>
        <item x="98"/>
        <item x="99"/>
        <item x="100"/>
        <item x="101"/>
        <item x="102"/>
        <item x="114"/>
        <item x="149"/>
        <item x="150"/>
        <item x="151"/>
        <item x="152"/>
        <item x="103"/>
        <item x="153"/>
        <item x="107"/>
        <item x="14"/>
        <item x="15"/>
        <item x="16"/>
        <item x="110"/>
        <item x="17"/>
        <item x="18"/>
        <item x="19"/>
        <item x="20"/>
        <item x="21"/>
        <item x="22"/>
        <item x="23"/>
        <item x="24"/>
        <item x="25"/>
        <item x="26"/>
        <item x="27"/>
        <item x="81"/>
        <item x="82"/>
        <item x="84"/>
        <item x="83"/>
        <item x="85"/>
        <item x="86"/>
        <item x="87"/>
        <item x="115"/>
        <item x="71"/>
        <item x="72"/>
        <item x="73"/>
        <item x="74"/>
        <item x="75"/>
        <item x="76"/>
        <item x="77"/>
        <item x="70"/>
        <item x="78"/>
        <item x="130"/>
        <item x="69"/>
        <item x="132"/>
        <item x="131"/>
        <item x="79"/>
        <item x="80"/>
        <item x="133"/>
        <item x="134"/>
        <item x="88"/>
        <item x="89"/>
        <item x="90"/>
        <item x="91"/>
        <item x="92"/>
        <item x="93"/>
        <item x="112"/>
        <item x="113"/>
        <item x="31"/>
        <item x="32"/>
        <item x="33"/>
        <item x="34"/>
        <item x="35"/>
        <item x="28"/>
        <item x="29"/>
        <item x="30"/>
        <item x="122"/>
        <item x="38"/>
        <item x="39"/>
        <item x="40"/>
        <item x="135"/>
        <item x="136"/>
        <item x="137"/>
        <item x="94"/>
        <item x="95"/>
        <item x="108"/>
        <item x="109"/>
        <item x="106"/>
        <item t="default"/>
      </items>
    </pivotField>
    <pivotField axis="axisCol" dataField="1" showAll="0">
      <items count="8">
        <item x="1"/>
        <item x="5"/>
        <item x="3"/>
        <item x="0"/>
        <item x="6"/>
        <item x="2"/>
        <item x="4"/>
        <item t="default"/>
      </items>
    </pivotField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2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Count of Section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35"/>
  <sheetViews>
    <sheetView showGridLines="0" tabSelected="1" workbookViewId="0">
      <selection activeCell="T19" sqref="T19"/>
    </sheetView>
  </sheetViews>
  <sheetFormatPr defaultRowHeight="15" x14ac:dyDescent="0.25"/>
  <cols>
    <col min="2" max="2" width="16.5703125" customWidth="1"/>
    <col min="3" max="3" width="6.140625" bestFit="1" customWidth="1"/>
    <col min="4" max="4" width="8" bestFit="1" customWidth="1"/>
    <col min="5" max="5" width="5.5703125" bestFit="1" customWidth="1"/>
    <col min="6" max="9" width="4" bestFit="1" customWidth="1"/>
    <col min="10" max="10" width="5" bestFit="1" customWidth="1"/>
    <col min="11" max="11" width="5.42578125" hidden="1" customWidth="1"/>
    <col min="12" max="12" width="6.42578125" bestFit="1" customWidth="1"/>
    <col min="13" max="13" width="5.42578125" hidden="1" customWidth="1"/>
    <col min="14" max="14" width="5.42578125" bestFit="1" customWidth="1"/>
    <col min="15" max="15" width="9.28515625" hidden="1" customWidth="1"/>
    <col min="16" max="16" width="7.42578125" hidden="1" customWidth="1"/>
    <col min="17" max="17" width="9.5703125" customWidth="1"/>
    <col min="18" max="18" width="5.140625" hidden="1" customWidth="1"/>
    <col min="19" max="19" width="7.140625" customWidth="1"/>
    <col min="20" max="20" width="6.7109375" bestFit="1" customWidth="1"/>
    <col min="21" max="21" width="6.5703125" hidden="1" customWidth="1"/>
    <col min="22" max="23" width="8.42578125" bestFit="1" customWidth="1"/>
    <col min="24" max="24" width="5.42578125" bestFit="1" customWidth="1"/>
    <col min="25" max="25" width="9.42578125" bestFit="1" customWidth="1"/>
    <col min="26" max="26" width="6.28515625" bestFit="1" customWidth="1"/>
    <col min="27" max="27" width="5.28515625" bestFit="1" customWidth="1"/>
    <col min="29" max="29" width="9.140625" hidden="1" customWidth="1"/>
    <col min="30" max="30" width="9.7109375" hidden="1" customWidth="1"/>
    <col min="31" max="31" width="10" hidden="1" customWidth="1"/>
    <col min="32" max="32" width="11.7109375" hidden="1" customWidth="1"/>
    <col min="33" max="34" width="8.42578125" hidden="1" customWidth="1"/>
    <col min="35" max="35" width="5.42578125" hidden="1" customWidth="1"/>
    <col min="36" max="36" width="0" hidden="1" customWidth="1"/>
    <col min="37" max="37" width="6.28515625" hidden="1" customWidth="1"/>
    <col min="38" max="38" width="5.28515625" hidden="1" customWidth="1"/>
  </cols>
  <sheetData>
    <row r="1" spans="1:38" x14ac:dyDescent="0.25">
      <c r="K1" s="64" t="s">
        <v>26</v>
      </c>
      <c r="L1" s="64"/>
      <c r="M1" s="64"/>
      <c r="N1" s="64"/>
      <c r="O1" s="64"/>
      <c r="P1" s="64"/>
      <c r="Q1" s="64"/>
      <c r="R1" s="64"/>
      <c r="S1" s="64"/>
      <c r="T1" s="3"/>
      <c r="U1" s="3"/>
      <c r="V1" s="62" t="s">
        <v>30</v>
      </c>
      <c r="W1" s="62"/>
      <c r="X1" s="62"/>
      <c r="Y1" s="62"/>
      <c r="Z1" s="62"/>
      <c r="AA1" s="62"/>
      <c r="AF1" s="3"/>
      <c r="AG1" s="62" t="s">
        <v>30</v>
      </c>
      <c r="AH1" s="62"/>
      <c r="AI1" s="62"/>
      <c r="AJ1" s="62"/>
      <c r="AK1" s="62"/>
      <c r="AL1" s="62"/>
    </row>
    <row r="2" spans="1:38" ht="25.5" customHeight="1" x14ac:dyDescent="0.25">
      <c r="C2" s="66" t="s">
        <v>13</v>
      </c>
      <c r="D2" s="66"/>
      <c r="E2" s="66"/>
      <c r="F2" s="66"/>
      <c r="G2" s="66"/>
      <c r="H2" s="66"/>
      <c r="I2" s="66"/>
      <c r="J2" s="66"/>
      <c r="K2" s="65" t="s">
        <v>4</v>
      </c>
      <c r="L2" s="65"/>
      <c r="M2" s="65" t="s">
        <v>5</v>
      </c>
      <c r="N2" s="65"/>
      <c r="O2" s="1" t="s">
        <v>6</v>
      </c>
      <c r="P2" s="65" t="s">
        <v>7</v>
      </c>
      <c r="Q2" s="65"/>
      <c r="R2" s="65" t="s">
        <v>8</v>
      </c>
      <c r="S2" s="65"/>
      <c r="T2" s="22" t="s">
        <v>27</v>
      </c>
      <c r="U2" s="16" t="s">
        <v>32</v>
      </c>
      <c r="V2" s="16" t="s">
        <v>31</v>
      </c>
      <c r="W2" s="16" t="s">
        <v>6</v>
      </c>
      <c r="X2" s="16" t="s">
        <v>5</v>
      </c>
      <c r="Y2" s="16" t="s">
        <v>7</v>
      </c>
      <c r="Z2" s="16" t="s">
        <v>8</v>
      </c>
      <c r="AA2" s="23" t="s">
        <v>33</v>
      </c>
      <c r="AC2" s="37" t="s">
        <v>21</v>
      </c>
      <c r="AD2" s="15" t="s">
        <v>41</v>
      </c>
      <c r="AE2" s="15" t="s">
        <v>42</v>
      </c>
      <c r="AF2" s="16" t="s">
        <v>32</v>
      </c>
      <c r="AG2" s="16" t="s">
        <v>31</v>
      </c>
      <c r="AH2" s="16" t="s">
        <v>6</v>
      </c>
      <c r="AI2" s="16" t="s">
        <v>5</v>
      </c>
      <c r="AJ2" s="16" t="s">
        <v>7</v>
      </c>
      <c r="AK2" s="16" t="s">
        <v>8</v>
      </c>
      <c r="AL2" s="16" t="s">
        <v>33</v>
      </c>
    </row>
    <row r="3" spans="1:38" x14ac:dyDescent="0.25">
      <c r="A3" s="63" t="s">
        <v>35</v>
      </c>
      <c r="B3" s="63"/>
      <c r="C3" s="15" t="s">
        <v>11</v>
      </c>
      <c r="D3" s="15" t="s">
        <v>14</v>
      </c>
      <c r="E3" s="15" t="s">
        <v>15</v>
      </c>
      <c r="F3" s="15" t="s">
        <v>16</v>
      </c>
      <c r="G3" s="15" t="s">
        <v>17</v>
      </c>
      <c r="H3" s="15" t="s">
        <v>18</v>
      </c>
      <c r="I3" s="15" t="s">
        <v>19</v>
      </c>
      <c r="J3" s="15" t="s">
        <v>20</v>
      </c>
      <c r="K3" s="17" t="s">
        <v>9</v>
      </c>
      <c r="L3" s="18" t="s">
        <v>10</v>
      </c>
      <c r="M3" s="17" t="s">
        <v>9</v>
      </c>
      <c r="N3" s="18" t="s">
        <v>10</v>
      </c>
      <c r="O3" s="18" t="s">
        <v>10</v>
      </c>
      <c r="P3" s="17" t="s">
        <v>9</v>
      </c>
      <c r="Q3" s="18" t="s">
        <v>10</v>
      </c>
      <c r="R3" s="17" t="s">
        <v>9</v>
      </c>
      <c r="S3" s="18" t="s">
        <v>10</v>
      </c>
      <c r="T3" s="32">
        <v>2015</v>
      </c>
      <c r="U3" s="19"/>
      <c r="V3" s="19"/>
      <c r="W3" s="19"/>
      <c r="X3" s="19"/>
      <c r="Y3" s="19"/>
      <c r="Z3" s="19"/>
      <c r="AA3" s="19"/>
      <c r="AC3" s="36" t="s">
        <v>11</v>
      </c>
      <c r="AD3" s="5">
        <v>7</v>
      </c>
      <c r="AE3" s="5">
        <v>80</v>
      </c>
      <c r="AF3" s="24">
        <f>1/AH3</f>
        <v>9.9885844748858446E-6</v>
      </c>
      <c r="AG3" s="26">
        <f>AF3/nano</f>
        <v>9988.5844748858435</v>
      </c>
      <c r="AH3" s="27">
        <f>AI3*hours_per_year</f>
        <v>100114.28571428571</v>
      </c>
      <c r="AI3" s="28">
        <f>AE3/AD3</f>
        <v>11.428571428571429</v>
      </c>
      <c r="AJ3" s="38">
        <f>100*(AI3*hours_per_year)/(AI3*hours_per_year+MTTR)</f>
        <v>99.996004725838574</v>
      </c>
      <c r="AK3" s="30">
        <f>100*(1-EXP(-1/AI3))</f>
        <v>8.3781128349122334</v>
      </c>
      <c r="AL3" s="31">
        <v>4</v>
      </c>
    </row>
    <row r="4" spans="1:38" x14ac:dyDescent="0.25">
      <c r="A4" s="36" t="s">
        <v>36</v>
      </c>
      <c r="B4" s="36" t="s">
        <v>0</v>
      </c>
      <c r="C4" s="5">
        <v>68</v>
      </c>
      <c r="D4" s="5">
        <v>32</v>
      </c>
      <c r="E4" s="5">
        <v>115</v>
      </c>
      <c r="F4" s="5">
        <v>160</v>
      </c>
      <c r="G4" s="5">
        <v>253</v>
      </c>
      <c r="H4" s="5">
        <v>150</v>
      </c>
      <c r="I4" s="5">
        <v>129</v>
      </c>
      <c r="J4" s="12">
        <f>SUM(C4:I4)</f>
        <v>907</v>
      </c>
      <c r="K4" s="6">
        <v>2994</v>
      </c>
      <c r="L4" s="8">
        <v>6762</v>
      </c>
      <c r="M4" s="7">
        <f t="shared" ref="M4:M8" si="0">1/(K4*nano*hours_per_year)</f>
        <v>38.128006393304112</v>
      </c>
      <c r="N4" s="9">
        <f>1/(L4*nano*hours_per_year)</f>
        <v>16.88187683252773</v>
      </c>
      <c r="O4" s="10">
        <f>N4*hours_per_year</f>
        <v>147885.24105294293</v>
      </c>
      <c r="P4" s="14">
        <f t="shared" ref="P4:P8" si="1">100*(M4*hours_per_year)/(M4*hours_per_year+MTTR)</f>
        <v>99.998802414342279</v>
      </c>
      <c r="Q4" s="13">
        <f>100*(N4*hours_per_year)/(N4*hours_per_year+MTTR)</f>
        <v>99.997295273157448</v>
      </c>
      <c r="R4" s="33">
        <f t="shared" ref="R4:R5" si="2">100*(1-EXP(-1/M4))</f>
        <v>2.5886487965274374</v>
      </c>
      <c r="S4" s="11">
        <f>100*(1-EXP(-1/N4))</f>
        <v>5.7514854003424709</v>
      </c>
      <c r="T4" s="20"/>
      <c r="U4" s="24" t="e">
        <f>1/W4</f>
        <v>#DIV/0!</v>
      </c>
      <c r="V4" s="25"/>
      <c r="W4" s="25"/>
      <c r="X4" s="25"/>
      <c r="Y4" s="25"/>
      <c r="Z4" s="25"/>
      <c r="AA4" s="25"/>
      <c r="AC4" s="36" t="s">
        <v>14</v>
      </c>
      <c r="AD4" s="5">
        <v>1</v>
      </c>
      <c r="AE4" s="5">
        <v>47</v>
      </c>
      <c r="AF4" s="24">
        <f t="shared" ref="AF4:AF5" si="3">1/AH4</f>
        <v>2.42883513067133E-6</v>
      </c>
      <c r="AG4" s="26">
        <f>AF4/nano</f>
        <v>2428.8351306713298</v>
      </c>
      <c r="AH4" s="27">
        <f>AI4*hours_per_year</f>
        <v>411720</v>
      </c>
      <c r="AI4" s="28">
        <f t="shared" ref="AI4:AI5" si="4">AE4/AD4</f>
        <v>47</v>
      </c>
      <c r="AJ4" s="38">
        <f>100*(AI4*hours_per_year)/(AI4*hours_per_year+MTTR)</f>
        <v>99.999028475386424</v>
      </c>
      <c r="AK4" s="30">
        <f t="shared" ref="AK4:AK5" si="5">100*(1-EXP(-1/AI4))</f>
        <v>2.1051845775030165</v>
      </c>
      <c r="AL4" s="31">
        <v>4</v>
      </c>
    </row>
    <row r="5" spans="1:38" x14ac:dyDescent="0.25">
      <c r="A5" s="36" t="s">
        <v>37</v>
      </c>
      <c r="B5" s="36" t="s">
        <v>1</v>
      </c>
      <c r="C5" s="5">
        <v>12</v>
      </c>
      <c r="D5" s="5">
        <v>7</v>
      </c>
      <c r="E5" s="5">
        <v>32</v>
      </c>
      <c r="F5" s="5">
        <v>60</v>
      </c>
      <c r="G5" s="5">
        <v>61</v>
      </c>
      <c r="H5" s="5">
        <v>19</v>
      </c>
      <c r="I5" s="5">
        <v>10</v>
      </c>
      <c r="J5" s="12">
        <f t="shared" ref="J5:J8" si="6">SUM(C5:I5)</f>
        <v>201</v>
      </c>
      <c r="K5" s="6">
        <v>4463</v>
      </c>
      <c r="L5" s="8">
        <v>10575</v>
      </c>
      <c r="M5" s="7">
        <f t="shared" si="0"/>
        <v>25.578142760822878</v>
      </c>
      <c r="N5" s="9">
        <f>1/(L5*nano*hours_per_year)</f>
        <v>10.794822802983688</v>
      </c>
      <c r="O5" s="10">
        <f>N5*hours_per_year</f>
        <v>94562.647754137113</v>
      </c>
      <c r="P5" s="14">
        <f t="shared" si="1"/>
        <v>99.998214831868822</v>
      </c>
      <c r="Q5" s="13">
        <f>100*(N5*hours_per_year)/(N5*hours_per_year+MTTR)</f>
        <v>99.995770178921418</v>
      </c>
      <c r="R5" s="33">
        <f t="shared" si="2"/>
        <v>3.8341499091092635</v>
      </c>
      <c r="S5" s="11">
        <f>100*(1-EXP(-1/N5))</f>
        <v>8.8475676422459024</v>
      </c>
      <c r="T5" s="20"/>
      <c r="U5" s="24" t="e">
        <f t="shared" ref="U5:U8" si="7">1/W5</f>
        <v>#DIV/0!</v>
      </c>
      <c r="V5" s="25"/>
      <c r="W5" s="25"/>
      <c r="X5" s="25"/>
      <c r="Y5" s="25"/>
      <c r="Z5" s="25"/>
      <c r="AA5" s="25"/>
      <c r="AC5" s="36" t="s">
        <v>15</v>
      </c>
      <c r="AD5" s="5">
        <v>1</v>
      </c>
      <c r="AE5" s="5">
        <v>160</v>
      </c>
      <c r="AF5" s="24">
        <f t="shared" si="3"/>
        <v>7.1347031963470322E-7</v>
      </c>
      <c r="AG5" s="26">
        <f>AF5/nano</f>
        <v>713.47031963470317</v>
      </c>
      <c r="AH5" s="27">
        <f>AI5*hours_per_year</f>
        <v>1401600</v>
      </c>
      <c r="AI5" s="28">
        <f t="shared" si="4"/>
        <v>160</v>
      </c>
      <c r="AJ5" s="29">
        <f>100*(AI5*hours_per_year)/(AI5*hours_per_year+MTTR)</f>
        <v>99.999714612686603</v>
      </c>
      <c r="AK5" s="30">
        <f t="shared" si="5"/>
        <v>0.62305093766052977</v>
      </c>
      <c r="AL5" s="31">
        <v>4</v>
      </c>
    </row>
    <row r="6" spans="1:38" x14ac:dyDescent="0.25">
      <c r="A6" s="36" t="s">
        <v>38</v>
      </c>
      <c r="B6" s="36" t="s">
        <v>2</v>
      </c>
      <c r="C6" s="5">
        <v>0</v>
      </c>
      <c r="D6" s="5">
        <v>8</v>
      </c>
      <c r="E6" s="5">
        <v>0</v>
      </c>
      <c r="F6" s="5">
        <v>7</v>
      </c>
      <c r="G6" s="5">
        <v>5</v>
      </c>
      <c r="H6" s="5">
        <v>0</v>
      </c>
      <c r="I6" s="5">
        <v>18</v>
      </c>
      <c r="J6" s="12">
        <f t="shared" si="6"/>
        <v>38</v>
      </c>
      <c r="K6" s="6">
        <v>3349</v>
      </c>
      <c r="L6" s="8">
        <v>8258</v>
      </c>
      <c r="M6" s="7">
        <f t="shared" si="0"/>
        <v>34.086369406256345</v>
      </c>
      <c r="N6" s="9">
        <f>1/(L6*nano*hours_per_year)</f>
        <v>13.823595439761744</v>
      </c>
      <c r="O6" s="10">
        <f>N6*hours_per_year</f>
        <v>121094.69605231288</v>
      </c>
      <c r="P6" s="14">
        <f t="shared" si="1"/>
        <v>99.998660417945047</v>
      </c>
      <c r="Q6" s="13">
        <f>100*(N6*hours_per_year)/(N6*hours_per_year+MTTR)</f>
        <v>99.996696909107712</v>
      </c>
      <c r="R6" s="33">
        <f>100*(1-EXP(-1/M6))</f>
        <v>2.8911080788086685</v>
      </c>
      <c r="S6" s="11">
        <f>100*(1-EXP(-1/N6))</f>
        <v>6.9785505331941948</v>
      </c>
      <c r="T6" s="20"/>
      <c r="U6" s="24" t="e">
        <f t="shared" si="7"/>
        <v>#DIV/0!</v>
      </c>
      <c r="V6" s="25"/>
      <c r="W6" s="25"/>
      <c r="X6" s="25"/>
      <c r="Y6" s="25"/>
      <c r="Z6" s="25"/>
      <c r="AA6" s="25"/>
      <c r="AC6" s="36" t="s">
        <v>16</v>
      </c>
      <c r="AD6" s="5">
        <v>0</v>
      </c>
      <c r="AE6" s="5">
        <v>236</v>
      </c>
      <c r="AF6" s="24"/>
      <c r="AG6" s="26"/>
      <c r="AH6" s="27"/>
      <c r="AI6" s="28"/>
      <c r="AJ6" s="29"/>
      <c r="AK6" s="30"/>
      <c r="AL6" s="31"/>
    </row>
    <row r="7" spans="1:38" x14ac:dyDescent="0.25">
      <c r="A7" s="36" t="s">
        <v>39</v>
      </c>
      <c r="B7" s="36" t="s">
        <v>3</v>
      </c>
      <c r="C7" s="5">
        <v>0</v>
      </c>
      <c r="D7" s="5">
        <v>0</v>
      </c>
      <c r="E7" s="5">
        <v>11</v>
      </c>
      <c r="F7" s="5">
        <v>9</v>
      </c>
      <c r="G7" s="5">
        <v>2</v>
      </c>
      <c r="H7" s="5">
        <v>0</v>
      </c>
      <c r="I7" s="5">
        <v>4</v>
      </c>
      <c r="J7" s="12">
        <f t="shared" si="6"/>
        <v>26</v>
      </c>
      <c r="K7" s="6">
        <v>4818</v>
      </c>
      <c r="L7" s="8">
        <v>12071</v>
      </c>
      <c r="M7" s="7">
        <f t="shared" si="0"/>
        <v>23.693493387619863</v>
      </c>
      <c r="N7" s="9">
        <f>1/(L7*nano*hours_per_year)</f>
        <v>9.456983774463799</v>
      </c>
      <c r="O7" s="10">
        <f>N7*hours_per_year</f>
        <v>82843.177864302881</v>
      </c>
      <c r="P7" s="14">
        <f t="shared" si="1"/>
        <v>99.998072837140285</v>
      </c>
      <c r="Q7" s="13">
        <f>100*(N7*hours_per_year)/(N7*hours_per_year+MTTR)</f>
        <v>99.995171833123209</v>
      </c>
      <c r="R7" s="33">
        <f t="shared" ref="R7:R8" si="8">100*(1-EXP(-1/M7))</f>
        <v>4.1327419483234706</v>
      </c>
      <c r="S7" s="11">
        <f>100*(1-EXP(-1/N7))</f>
        <v>10.034323444137671</v>
      </c>
      <c r="T7" s="20"/>
      <c r="U7" s="24" t="e">
        <f t="shared" si="7"/>
        <v>#DIV/0!</v>
      </c>
      <c r="V7" s="25"/>
      <c r="W7" s="25"/>
      <c r="X7" s="25"/>
      <c r="Y7" s="25"/>
      <c r="Z7" s="25"/>
      <c r="AA7" s="25"/>
      <c r="AC7" s="36" t="s">
        <v>17</v>
      </c>
      <c r="AD7" s="5">
        <v>0</v>
      </c>
      <c r="AE7" s="5">
        <v>321</v>
      </c>
      <c r="AF7" s="24"/>
      <c r="AG7" s="26"/>
      <c r="AH7" s="27"/>
      <c r="AI7" s="28"/>
      <c r="AJ7" s="29"/>
      <c r="AK7" s="30"/>
      <c r="AL7" s="31"/>
    </row>
    <row r="8" spans="1:38" x14ac:dyDescent="0.25">
      <c r="A8" s="36" t="s">
        <v>40</v>
      </c>
      <c r="B8" s="36" t="s">
        <v>12</v>
      </c>
      <c r="C8" s="5">
        <v>0</v>
      </c>
      <c r="D8" s="5">
        <v>0</v>
      </c>
      <c r="E8" s="5">
        <v>2</v>
      </c>
      <c r="F8" s="5">
        <v>0</v>
      </c>
      <c r="G8" s="5">
        <v>0</v>
      </c>
      <c r="H8" s="5">
        <v>0</v>
      </c>
      <c r="I8" s="5">
        <v>0</v>
      </c>
      <c r="J8" s="12">
        <f t="shared" si="6"/>
        <v>2</v>
      </c>
      <c r="K8" s="6">
        <f>BP_CAN_INDOOR+PICCG2_INDOOR+PDU_230V_INDOOR</f>
        <v>2269</v>
      </c>
      <c r="L8" s="8">
        <f>BP_CAN_OUTDOOR+PICCG2_OUTDOOR+PDU_230V_OUTDOOR</f>
        <v>5477</v>
      </c>
      <c r="M8" s="7">
        <f t="shared" si="0"/>
        <v>50.310820247488984</v>
      </c>
      <c r="N8" s="9">
        <f>1/(L8*nano*hours_per_year)</f>
        <v>20.842660423873014</v>
      </c>
      <c r="O8" s="10">
        <f>N8*hours_per_year</f>
        <v>182581.7053131276</v>
      </c>
      <c r="P8" s="14">
        <f t="shared" si="1"/>
        <v>99.999092408237303</v>
      </c>
      <c r="Q8" s="13">
        <f>100*(N8*hours_per_year)/(N8*hours_per_year+MTTR)</f>
        <v>99.997809247994994</v>
      </c>
      <c r="R8" s="34">
        <f t="shared" si="8"/>
        <v>1.9680205862480094</v>
      </c>
      <c r="S8" s="11">
        <f>100*(1-EXP(-1/N8))</f>
        <v>4.6845739388863823</v>
      </c>
      <c r="T8" s="20"/>
      <c r="U8" s="24" t="e">
        <f t="shared" si="7"/>
        <v>#DIV/0!</v>
      </c>
      <c r="V8" s="25"/>
      <c r="W8" s="25"/>
      <c r="X8" s="25"/>
      <c r="Y8" s="25"/>
      <c r="Z8" s="25"/>
      <c r="AA8" s="25"/>
      <c r="AC8" s="36" t="s">
        <v>18</v>
      </c>
      <c r="AD8" s="5">
        <v>0</v>
      </c>
      <c r="AE8" s="5">
        <v>169</v>
      </c>
      <c r="AF8" s="24"/>
      <c r="AG8" s="26"/>
      <c r="AH8" s="27"/>
      <c r="AI8" s="28"/>
      <c r="AJ8" s="29"/>
      <c r="AK8" s="30"/>
      <c r="AL8" s="31"/>
    </row>
    <row r="9" spans="1:38" x14ac:dyDescent="0.25">
      <c r="A9" s="4"/>
      <c r="B9" s="35" t="s">
        <v>34</v>
      </c>
      <c r="C9" s="12">
        <f>SUM(C4:C8)</f>
        <v>80</v>
      </c>
      <c r="D9" s="12">
        <f t="shared" ref="D9:K9" si="9">SUM(D4:D8)</f>
        <v>47</v>
      </c>
      <c r="E9" s="12">
        <f t="shared" si="9"/>
        <v>160</v>
      </c>
      <c r="F9" s="12">
        <f t="shared" si="9"/>
        <v>236</v>
      </c>
      <c r="G9" s="12">
        <f t="shared" si="9"/>
        <v>321</v>
      </c>
      <c r="H9" s="12">
        <f t="shared" si="9"/>
        <v>169</v>
      </c>
      <c r="I9" s="12">
        <f t="shared" si="9"/>
        <v>161</v>
      </c>
      <c r="J9" s="12">
        <f t="shared" si="9"/>
        <v>1174</v>
      </c>
      <c r="K9" s="12">
        <f t="shared" si="9"/>
        <v>17893</v>
      </c>
      <c r="AC9" s="36" t="s">
        <v>19</v>
      </c>
      <c r="AD9" s="5">
        <v>0</v>
      </c>
      <c r="AE9" s="5">
        <v>161</v>
      </c>
      <c r="AF9" s="24"/>
      <c r="AG9" s="26"/>
      <c r="AH9" s="27"/>
      <c r="AI9" s="28"/>
      <c r="AJ9" s="29"/>
      <c r="AK9" s="30"/>
      <c r="AL9" s="31"/>
    </row>
    <row r="10" spans="1:38" ht="7.5" customHeight="1" x14ac:dyDescent="0.25">
      <c r="A10" s="4"/>
      <c r="B10" s="4"/>
      <c r="T10" s="3"/>
      <c r="U10" s="3"/>
    </row>
    <row r="11" spans="1:38" x14ac:dyDescent="0.25">
      <c r="A11" s="36"/>
      <c r="B11" s="36" t="s">
        <v>22</v>
      </c>
      <c r="C11" s="5">
        <v>92</v>
      </c>
      <c r="D11" s="5">
        <v>54</v>
      </c>
      <c r="E11" s="5">
        <v>203</v>
      </c>
      <c r="F11" s="5">
        <v>305</v>
      </c>
      <c r="G11" s="5">
        <v>384</v>
      </c>
      <c r="H11" s="5">
        <v>188</v>
      </c>
      <c r="I11" s="5">
        <v>175</v>
      </c>
      <c r="J11" s="12">
        <f>SUM(C11:I11)</f>
        <v>1401</v>
      </c>
      <c r="K11" s="6">
        <v>1469</v>
      </c>
      <c r="L11" s="8">
        <v>3813</v>
      </c>
      <c r="M11" s="7">
        <f t="shared" ref="M11" si="10">1/(K11*nano*hours_per_year)</f>
        <v>77.709497033051406</v>
      </c>
      <c r="N11" s="9">
        <f t="shared" ref="N11:N16" si="11">1/(L11*nano*hours_per_year)</f>
        <v>29.938434603082221</v>
      </c>
      <c r="O11" s="10">
        <f t="shared" ref="O11:O16" si="12">N11*hours_per_year</f>
        <v>262260.68712300027</v>
      </c>
      <c r="P11" s="14">
        <f t="shared" ref="P11" si="13">100*(M11*hours_per_year)/(M11*hours_per_year+MTTR)</f>
        <v>99.999412403452723</v>
      </c>
      <c r="Q11" s="13">
        <f t="shared" ref="Q11:Q16" si="14">100*(N11*hours_per_year)/(N11*hours_per_year+MTTR)</f>
        <v>99.998474823262001</v>
      </c>
      <c r="R11" s="34">
        <f t="shared" ref="R11" si="15">100*(1-EXP(-1/M11))</f>
        <v>1.2785995648291859</v>
      </c>
      <c r="S11" s="11">
        <f>100*(1-EXP(-1/N11))</f>
        <v>3.2850196685377586</v>
      </c>
      <c r="T11" s="21">
        <v>24</v>
      </c>
      <c r="U11" s="24">
        <f>1/W11</f>
        <v>1.9555503407546469E-6</v>
      </c>
      <c r="V11" s="26">
        <f>U11/nano</f>
        <v>1955.5503407546469</v>
      </c>
      <c r="W11" s="27">
        <f>X11*hours_per_year</f>
        <v>511365</v>
      </c>
      <c r="X11" s="28">
        <f>J11/T11</f>
        <v>58.375</v>
      </c>
      <c r="Y11" s="29">
        <f>100*(X11*hours_per_year)/(X11*hours_per_year+MTTR)</f>
        <v>99.999217785982339</v>
      </c>
      <c r="Z11" s="30">
        <f>100*(1-EXP(-1/X11))</f>
        <v>1.6984726174828602</v>
      </c>
      <c r="AA11" s="31">
        <v>4</v>
      </c>
      <c r="AC11" s="37" t="s">
        <v>21</v>
      </c>
      <c r="AD11" s="15" t="s">
        <v>45</v>
      </c>
      <c r="AE11" s="15" t="s">
        <v>46</v>
      </c>
    </row>
    <row r="12" spans="1:38" x14ac:dyDescent="0.25">
      <c r="A12" s="36"/>
      <c r="B12" s="36" t="s">
        <v>23</v>
      </c>
      <c r="C12" s="5">
        <v>80</v>
      </c>
      <c r="D12" s="5">
        <v>39</v>
      </c>
      <c r="E12" s="5">
        <v>147</v>
      </c>
      <c r="F12" s="5">
        <v>220</v>
      </c>
      <c r="G12" s="5">
        <v>314</v>
      </c>
      <c r="H12" s="5">
        <v>169</v>
      </c>
      <c r="I12" s="5">
        <v>139</v>
      </c>
      <c r="J12" s="12">
        <f t="shared" ref="J12:J16" si="16">SUM(C12:I12)</f>
        <v>1108</v>
      </c>
      <c r="K12" s="6">
        <v>725</v>
      </c>
      <c r="L12" s="8">
        <v>1285</v>
      </c>
      <c r="M12" s="7">
        <f t="shared" ref="M12:M14" si="17">1/(K12*nano*hours_per_year)</f>
        <v>157.45551881593448</v>
      </c>
      <c r="N12" s="9">
        <f t="shared" si="11"/>
        <v>88.836771316383278</v>
      </c>
      <c r="O12" s="10">
        <f t="shared" si="12"/>
        <v>778210.11673151748</v>
      </c>
      <c r="P12" s="14">
        <f t="shared" ref="P12:P14" si="18">100*(M12*hours_per_year)/(M12*hours_per_year+MTTR)</f>
        <v>99.999710000841006</v>
      </c>
      <c r="Q12" s="13">
        <f t="shared" si="14"/>
        <v>99.999486002641945</v>
      </c>
      <c r="R12" s="34">
        <f t="shared" ref="R12:R14" si="19">100*(1-EXP(-1/M12))</f>
        <v>0.63308750266075631</v>
      </c>
      <c r="S12" s="11">
        <f t="shared" ref="S12:S14" si="20">100*(1-EXP(-1/N12))</f>
        <v>1.1193481533325111</v>
      </c>
      <c r="T12" s="21">
        <v>0</v>
      </c>
      <c r="U12" s="24" t="e">
        <f t="shared" ref="U12:U16" si="21">1/W12</f>
        <v>#DIV/0!</v>
      </c>
      <c r="V12" s="26">
        <v>0</v>
      </c>
      <c r="W12" s="27">
        <v>0</v>
      </c>
      <c r="X12" s="28"/>
      <c r="Y12" s="31"/>
      <c r="Z12" s="31"/>
      <c r="AA12" s="31">
        <v>4</v>
      </c>
      <c r="AC12" s="36" t="s">
        <v>11</v>
      </c>
      <c r="AD12" s="5">
        <v>4</v>
      </c>
      <c r="AE12" s="5">
        <v>92</v>
      </c>
      <c r="AF12" s="24">
        <f>1/AH12</f>
        <v>4.9632717887631523E-6</v>
      </c>
      <c r="AG12" s="26">
        <f>AF12/nano</f>
        <v>4963.2717887631516</v>
      </c>
      <c r="AH12" s="27">
        <f>AI12*hours_per_year</f>
        <v>201480</v>
      </c>
      <c r="AI12" s="28">
        <f>AE12/AD12</f>
        <v>23</v>
      </c>
      <c r="AJ12" s="38">
        <f>100*(AI12*hours_per_year)/(AI12*hours_per_year+MTTR)</f>
        <v>99.998014730698216</v>
      </c>
      <c r="AK12" s="30">
        <f>100*(1-EXP(-1/AI12))</f>
        <v>4.2546631931619121</v>
      </c>
      <c r="AL12" s="31">
        <v>4</v>
      </c>
    </row>
    <row r="13" spans="1:38" x14ac:dyDescent="0.25">
      <c r="A13" s="36"/>
      <c r="B13" s="36" t="s">
        <v>24</v>
      </c>
      <c r="C13" s="5">
        <v>0</v>
      </c>
      <c r="D13" s="5">
        <v>8</v>
      </c>
      <c r="E13" s="5">
        <v>11</v>
      </c>
      <c r="F13" s="5">
        <v>16</v>
      </c>
      <c r="G13" s="5">
        <v>7</v>
      </c>
      <c r="H13" s="5">
        <v>0</v>
      </c>
      <c r="I13" s="5">
        <v>22</v>
      </c>
      <c r="J13" s="12">
        <f t="shared" si="16"/>
        <v>64</v>
      </c>
      <c r="K13" s="6">
        <v>1080</v>
      </c>
      <c r="L13" s="8">
        <v>2781</v>
      </c>
      <c r="M13" s="7">
        <f t="shared" si="17"/>
        <v>105.69930661254863</v>
      </c>
      <c r="N13" s="9">
        <f t="shared" si="11"/>
        <v>41.048274412640239</v>
      </c>
      <c r="O13" s="10">
        <f t="shared" si="12"/>
        <v>359582.88385472848</v>
      </c>
      <c r="P13" s="14">
        <f t="shared" si="18"/>
        <v>99.999568001866237</v>
      </c>
      <c r="Q13" s="13">
        <f t="shared" si="14"/>
        <v>99.998887612374205</v>
      </c>
      <c r="R13" s="34">
        <f t="shared" si="19"/>
        <v>0.94161874327223227</v>
      </c>
      <c r="S13" s="11">
        <f t="shared" si="20"/>
        <v>2.4067212298216734</v>
      </c>
      <c r="T13" s="21">
        <v>0</v>
      </c>
      <c r="U13" s="24" t="e">
        <f t="shared" si="21"/>
        <v>#DIV/0!</v>
      </c>
      <c r="V13" s="26">
        <v>0</v>
      </c>
      <c r="W13" s="27">
        <v>0</v>
      </c>
      <c r="X13" s="28"/>
      <c r="Y13" s="31"/>
      <c r="Z13" s="31"/>
      <c r="AA13" s="31">
        <v>4</v>
      </c>
      <c r="AC13" s="36" t="s">
        <v>14</v>
      </c>
      <c r="AD13" s="5">
        <v>4</v>
      </c>
      <c r="AE13" s="5">
        <v>54</v>
      </c>
      <c r="AF13" s="24">
        <f t="shared" ref="AF13:AF19" si="22">1/AH13</f>
        <v>8.4559445290038903E-6</v>
      </c>
      <c r="AG13" s="26">
        <f>AF13/nano</f>
        <v>8455.9445290038893</v>
      </c>
      <c r="AH13" s="27">
        <f>AI13*hours_per_year</f>
        <v>118260</v>
      </c>
      <c r="AI13" s="28">
        <f t="shared" ref="AI13:AI19" si="23">AE13/AD13</f>
        <v>13.5</v>
      </c>
      <c r="AJ13" s="38">
        <f>100*(AI13*hours_per_year)/(AI13*hours_per_year+MTTR)</f>
        <v>99.996617736589329</v>
      </c>
      <c r="AK13" s="30">
        <f t="shared" ref="AK13:AK19" si="24">100*(1-EXP(-1/AI13))</f>
        <v>7.1397094106819718</v>
      </c>
      <c r="AL13" s="31">
        <v>4</v>
      </c>
    </row>
    <row r="14" spans="1:38" x14ac:dyDescent="0.25">
      <c r="A14" s="36"/>
      <c r="B14" s="36" t="s">
        <v>25</v>
      </c>
      <c r="C14" s="5">
        <v>80</v>
      </c>
      <c r="D14" s="5">
        <v>47</v>
      </c>
      <c r="E14" s="5">
        <v>160</v>
      </c>
      <c r="F14" s="5">
        <v>236</v>
      </c>
      <c r="G14" s="5">
        <v>321</v>
      </c>
      <c r="H14" s="5">
        <v>169</v>
      </c>
      <c r="I14" s="5">
        <v>161</v>
      </c>
      <c r="J14" s="12">
        <f t="shared" si="16"/>
        <v>1174</v>
      </c>
      <c r="K14" s="6">
        <v>424</v>
      </c>
      <c r="L14" s="8">
        <v>956</v>
      </c>
      <c r="M14" s="7">
        <f t="shared" si="17"/>
        <v>269.23408288102007</v>
      </c>
      <c r="N14" s="9">
        <f t="shared" si="11"/>
        <v>119.40925851626832</v>
      </c>
      <c r="O14" s="10">
        <f t="shared" si="12"/>
        <v>1046025.1046025105</v>
      </c>
      <c r="P14" s="14">
        <f t="shared" si="18"/>
        <v>99.999830400287649</v>
      </c>
      <c r="Q14" s="13">
        <f t="shared" si="14"/>
        <v>99.99961760146229</v>
      </c>
      <c r="R14" s="34">
        <f t="shared" si="19"/>
        <v>0.37073507427022312</v>
      </c>
      <c r="S14" s="11">
        <f t="shared" si="20"/>
        <v>0.83395910569935561</v>
      </c>
      <c r="T14" s="21">
        <v>9</v>
      </c>
      <c r="U14" s="24">
        <f t="shared" si="21"/>
        <v>8.7512543464563237E-7</v>
      </c>
      <c r="V14" s="26">
        <f>U14/nano</f>
        <v>875.12543464563237</v>
      </c>
      <c r="W14" s="27">
        <f>X14*hours_per_year</f>
        <v>1142693.3333333335</v>
      </c>
      <c r="X14" s="28">
        <f>J14/T14</f>
        <v>130.44444444444446</v>
      </c>
      <c r="Y14" s="29">
        <f>100*(X14*hours_per_year)/(X14*hours_per_year+MTTR)</f>
        <v>99.999649951051481</v>
      </c>
      <c r="Z14" s="11">
        <f>100*(1-EXP(-1/X14))</f>
        <v>0.76367892165952744</v>
      </c>
      <c r="AA14" s="31">
        <v>4</v>
      </c>
      <c r="AC14" s="36" t="s">
        <v>15</v>
      </c>
      <c r="AD14" s="5">
        <v>4</v>
      </c>
      <c r="AE14" s="5">
        <v>203</v>
      </c>
      <c r="AF14" s="24">
        <f t="shared" si="22"/>
        <v>2.2493645545133498E-6</v>
      </c>
      <c r="AG14" s="26">
        <f>AF14/nano</f>
        <v>2249.3645545133495</v>
      </c>
      <c r="AH14" s="27">
        <f>AI14*hours_per_year</f>
        <v>444570</v>
      </c>
      <c r="AI14" s="28">
        <f t="shared" si="23"/>
        <v>50.75</v>
      </c>
      <c r="AJ14" s="29">
        <f>100*(AI14*hours_per_year)/(AI14*hours_per_year+MTTR)</f>
        <v>99.999100262273544</v>
      </c>
      <c r="AK14" s="30">
        <f t="shared" si="24"/>
        <v>1.9511569980576904</v>
      </c>
      <c r="AL14" s="31">
        <v>4</v>
      </c>
    </row>
    <row r="15" spans="1:38" x14ac:dyDescent="0.25">
      <c r="A15" s="36"/>
      <c r="B15" s="36" t="s">
        <v>28</v>
      </c>
      <c r="C15" s="5">
        <v>93</v>
      </c>
      <c r="D15" s="5">
        <v>71</v>
      </c>
      <c r="E15" s="5">
        <v>184</v>
      </c>
      <c r="F15" s="5">
        <v>293</v>
      </c>
      <c r="G15" s="5">
        <v>431</v>
      </c>
      <c r="H15" s="5">
        <v>230</v>
      </c>
      <c r="I15" s="5">
        <v>169</v>
      </c>
      <c r="J15" s="12">
        <f t="shared" si="16"/>
        <v>1471</v>
      </c>
      <c r="K15" s="6"/>
      <c r="L15" s="8">
        <v>219</v>
      </c>
      <c r="M15" s="7"/>
      <c r="N15" s="9">
        <f t="shared" si="11"/>
        <v>521.25685452763696</v>
      </c>
      <c r="O15" s="10">
        <f t="shared" si="12"/>
        <v>4566210.0456620995</v>
      </c>
      <c r="P15" s="14"/>
      <c r="Q15" s="13">
        <f t="shared" si="14"/>
        <v>99.999912400076738</v>
      </c>
      <c r="R15" s="34"/>
      <c r="S15" s="11">
        <f t="shared" ref="S15:S16" si="25">100*(1-EXP(-1/N15))</f>
        <v>0.19166009701939712</v>
      </c>
      <c r="T15" s="21">
        <v>3</v>
      </c>
      <c r="U15" s="24">
        <f t="shared" si="21"/>
        <v>2.3281152510173864E-7</v>
      </c>
      <c r="V15" s="26">
        <f>U15/nano</f>
        <v>232.81152510173862</v>
      </c>
      <c r="W15" s="27">
        <f>X15*hours_per_year</f>
        <v>4295320</v>
      </c>
      <c r="X15" s="28">
        <f>J15/T15</f>
        <v>490.33333333333331</v>
      </c>
      <c r="Y15" s="29">
        <f>100*(X15*hours_per_year)/(X15*hours_per_year+MTTR)</f>
        <v>99.999906875476682</v>
      </c>
      <c r="Z15" s="11">
        <f>100*(1-EXP(-1/X15))</f>
        <v>0.20373507376856281</v>
      </c>
      <c r="AA15" s="31">
        <v>4</v>
      </c>
      <c r="AC15" s="36" t="s">
        <v>16</v>
      </c>
      <c r="AD15" s="5">
        <v>4</v>
      </c>
      <c r="AE15" s="5">
        <v>305</v>
      </c>
      <c r="AF15" s="24">
        <f t="shared" si="22"/>
        <v>1.4971180477580656E-6</v>
      </c>
      <c r="AG15" s="26">
        <f>AF15/nano</f>
        <v>1497.1180477580656</v>
      </c>
      <c r="AH15" s="27">
        <f>AI15*hours_per_year</f>
        <v>667950</v>
      </c>
      <c r="AI15" s="28">
        <f t="shared" si="23"/>
        <v>76.25</v>
      </c>
      <c r="AJ15" s="29">
        <f>100*(AI15*hours_per_year)/(AI15*hours_per_year+MTTR)</f>
        <v>99.999401156367057</v>
      </c>
      <c r="AK15" s="30">
        <f t="shared" si="24"/>
        <v>1.302913043067111</v>
      </c>
      <c r="AL15" s="31">
        <v>4</v>
      </c>
    </row>
    <row r="16" spans="1:38" x14ac:dyDescent="0.25">
      <c r="A16" s="36"/>
      <c r="B16" s="36" t="s">
        <v>29</v>
      </c>
      <c r="C16" s="5">
        <v>147</v>
      </c>
      <c r="D16" s="5">
        <v>91</v>
      </c>
      <c r="E16" s="5">
        <v>350</v>
      </c>
      <c r="F16" s="5">
        <v>496</v>
      </c>
      <c r="G16" s="5">
        <v>594</v>
      </c>
      <c r="H16" s="5">
        <v>293</v>
      </c>
      <c r="I16" s="5">
        <v>314</v>
      </c>
      <c r="J16" s="12">
        <f t="shared" si="16"/>
        <v>2285</v>
      </c>
      <c r="K16" s="6"/>
      <c r="L16" s="8">
        <v>465</v>
      </c>
      <c r="M16" s="7"/>
      <c r="N16" s="9">
        <f t="shared" si="11"/>
        <v>245.4951637452742</v>
      </c>
      <c r="O16" s="10">
        <f t="shared" si="12"/>
        <v>2150537.634408602</v>
      </c>
      <c r="P16" s="14"/>
      <c r="Q16" s="13">
        <f t="shared" si="14"/>
        <v>99.999814000345964</v>
      </c>
      <c r="R16" s="34"/>
      <c r="S16" s="11">
        <f t="shared" si="25"/>
        <v>0.40651149594655989</v>
      </c>
      <c r="T16" s="21">
        <v>0</v>
      </c>
      <c r="U16" s="24" t="e">
        <f t="shared" si="21"/>
        <v>#DIV/0!</v>
      </c>
      <c r="V16" s="26">
        <v>0</v>
      </c>
      <c r="W16" s="27">
        <v>0</v>
      </c>
      <c r="X16" s="28"/>
      <c r="Y16" s="31"/>
      <c r="Z16" s="31"/>
      <c r="AA16" s="31">
        <v>4</v>
      </c>
      <c r="AC16" s="36" t="s">
        <v>17</v>
      </c>
      <c r="AD16" s="5">
        <v>4</v>
      </c>
      <c r="AE16" s="5">
        <v>384</v>
      </c>
      <c r="AF16" s="24">
        <f t="shared" si="22"/>
        <v>1.1891171993911721E-6</v>
      </c>
      <c r="AG16" s="26">
        <f>AF16/nano</f>
        <v>1189.1171993911721</v>
      </c>
      <c r="AH16" s="27">
        <f>AI16*hours_per_year</f>
        <v>840960</v>
      </c>
      <c r="AI16" s="28">
        <f t="shared" si="23"/>
        <v>96</v>
      </c>
      <c r="AJ16" s="29">
        <f>100*(AI16*hours_per_year)/(AI16*hours_per_year+MTTR)</f>
        <v>99.999524355382633</v>
      </c>
      <c r="AK16" s="30">
        <f t="shared" si="24"/>
        <v>1.036260108500342</v>
      </c>
      <c r="AL16" s="31">
        <v>4</v>
      </c>
    </row>
    <row r="17" spans="2:38" x14ac:dyDescent="0.25">
      <c r="AC17" s="36"/>
      <c r="AD17" s="5"/>
      <c r="AE17" s="5"/>
      <c r="AF17" s="24"/>
      <c r="AG17" s="26"/>
      <c r="AH17" s="27"/>
      <c r="AI17" s="28"/>
      <c r="AJ17" s="29"/>
      <c r="AK17" s="30"/>
      <c r="AL17" s="31"/>
    </row>
    <row r="18" spans="2:38" x14ac:dyDescent="0.25">
      <c r="B18" s="40" t="s">
        <v>21</v>
      </c>
      <c r="C18" s="15" t="s">
        <v>22</v>
      </c>
      <c r="D18" s="15" t="s">
        <v>23</v>
      </c>
      <c r="E18" s="15" t="s">
        <v>24</v>
      </c>
      <c r="F18" s="15" t="s">
        <v>25</v>
      </c>
      <c r="G18" s="15" t="s">
        <v>49</v>
      </c>
      <c r="H18" s="15" t="s">
        <v>50</v>
      </c>
      <c r="T18">
        <f>SUM(T11:T16)</f>
        <v>36</v>
      </c>
      <c r="AC18" s="36" t="s">
        <v>18</v>
      </c>
      <c r="AD18" s="5">
        <v>4</v>
      </c>
      <c r="AE18" s="5">
        <v>188</v>
      </c>
      <c r="AF18" s="24">
        <f t="shared" si="22"/>
        <v>2.42883513067133E-6</v>
      </c>
      <c r="AG18" s="26">
        <f>AF18/nano</f>
        <v>2428.8351306713298</v>
      </c>
      <c r="AH18" s="27">
        <f>AI18*hours_per_year</f>
        <v>411720</v>
      </c>
      <c r="AI18" s="28">
        <f t="shared" si="23"/>
        <v>47</v>
      </c>
      <c r="AJ18" s="29">
        <f>100*(AI18*hours_per_year)/(AI18*hours_per_year+MTTR)</f>
        <v>99.999028475386424</v>
      </c>
      <c r="AK18" s="30">
        <f t="shared" si="24"/>
        <v>2.1051845775030165</v>
      </c>
      <c r="AL18" s="31">
        <v>4</v>
      </c>
    </row>
    <row r="19" spans="2:38" x14ac:dyDescent="0.25">
      <c r="B19" s="36" t="s">
        <v>11</v>
      </c>
      <c r="C19" s="5">
        <v>92</v>
      </c>
      <c r="D19" s="5">
        <v>80</v>
      </c>
      <c r="E19" s="5">
        <v>0</v>
      </c>
      <c r="F19" s="5">
        <v>80</v>
      </c>
      <c r="G19" s="5">
        <v>93</v>
      </c>
      <c r="H19" s="5">
        <v>147</v>
      </c>
      <c r="AC19" s="36" t="s">
        <v>19</v>
      </c>
      <c r="AD19" s="5">
        <v>4</v>
      </c>
      <c r="AE19" s="5">
        <v>175</v>
      </c>
      <c r="AF19" s="24">
        <f t="shared" si="22"/>
        <v>2.609262883235486E-6</v>
      </c>
      <c r="AG19" s="26">
        <f>AF19/nano</f>
        <v>2609.2628832354858</v>
      </c>
      <c r="AH19" s="27">
        <f>AI19*hours_per_year</f>
        <v>383250</v>
      </c>
      <c r="AI19" s="28">
        <f t="shared" si="23"/>
        <v>43.75</v>
      </c>
      <c r="AJ19" s="29">
        <f>100*(AI19*hours_per_year)/(AI19*hours_per_year+MTTR)</f>
        <v>99.998956305739796</v>
      </c>
      <c r="AK19" s="30">
        <f t="shared" si="24"/>
        <v>2.2597897327928607</v>
      </c>
      <c r="AL19" s="31">
        <v>4</v>
      </c>
    </row>
    <row r="20" spans="2:38" x14ac:dyDescent="0.25">
      <c r="B20" s="36" t="s">
        <v>14</v>
      </c>
      <c r="C20" s="5">
        <v>54</v>
      </c>
      <c r="D20" s="5">
        <v>39</v>
      </c>
      <c r="E20" s="5">
        <v>8</v>
      </c>
      <c r="F20" s="5">
        <v>47</v>
      </c>
      <c r="G20" s="5">
        <v>71</v>
      </c>
      <c r="H20" s="5">
        <v>91</v>
      </c>
    </row>
    <row r="21" spans="2:38" x14ac:dyDescent="0.25">
      <c r="B21" s="36" t="s">
        <v>15</v>
      </c>
      <c r="C21" s="5">
        <v>203</v>
      </c>
      <c r="D21" s="5">
        <v>147</v>
      </c>
      <c r="E21" s="5">
        <v>11</v>
      </c>
      <c r="F21" s="5">
        <v>160</v>
      </c>
      <c r="G21" s="5">
        <v>184</v>
      </c>
      <c r="H21" s="5">
        <v>350</v>
      </c>
      <c r="AC21" s="2" t="s">
        <v>45</v>
      </c>
      <c r="AD21" s="2">
        <v>24</v>
      </c>
      <c r="AE21" s="2" t="s">
        <v>48</v>
      </c>
      <c r="AF21" s="39">
        <f>ROUNDUP(AD21/AD22,0)</f>
        <v>4</v>
      </c>
    </row>
    <row r="22" spans="2:38" x14ac:dyDescent="0.25">
      <c r="B22" s="36" t="s">
        <v>16</v>
      </c>
      <c r="C22" s="5">
        <v>305</v>
      </c>
      <c r="D22" s="5">
        <v>220</v>
      </c>
      <c r="E22" s="5">
        <v>16</v>
      </c>
      <c r="F22" s="5">
        <v>236</v>
      </c>
      <c r="G22" s="5">
        <v>293</v>
      </c>
      <c r="H22" s="5">
        <v>469</v>
      </c>
      <c r="AC22" s="2" t="s">
        <v>47</v>
      </c>
      <c r="AD22" s="2">
        <v>7</v>
      </c>
    </row>
    <row r="23" spans="2:38" x14ac:dyDescent="0.25">
      <c r="B23" s="36" t="s">
        <v>17</v>
      </c>
      <c r="C23" s="5">
        <v>384</v>
      </c>
      <c r="D23" s="5">
        <v>314</v>
      </c>
      <c r="E23" s="5">
        <v>7</v>
      </c>
      <c r="F23" s="5">
        <v>321</v>
      </c>
      <c r="G23" s="5">
        <v>431</v>
      </c>
      <c r="H23" s="5">
        <v>594</v>
      </c>
      <c r="AC23" s="37" t="s">
        <v>21</v>
      </c>
      <c r="AD23" s="15" t="s">
        <v>43</v>
      </c>
      <c r="AE23" s="15" t="s">
        <v>44</v>
      </c>
    </row>
    <row r="24" spans="2:38" x14ac:dyDescent="0.25">
      <c r="B24" s="36" t="s">
        <v>18</v>
      </c>
      <c r="C24" s="5">
        <v>188</v>
      </c>
      <c r="D24" s="5">
        <v>169</v>
      </c>
      <c r="E24" s="5">
        <v>0</v>
      </c>
      <c r="F24" s="5">
        <v>169</v>
      </c>
      <c r="G24" s="5">
        <v>230</v>
      </c>
      <c r="H24" s="5">
        <v>293</v>
      </c>
      <c r="AC24" s="36" t="s">
        <v>11</v>
      </c>
      <c r="AD24" s="5">
        <v>11</v>
      </c>
      <c r="AE24" s="5">
        <v>80</v>
      </c>
      <c r="AF24" s="24">
        <f>1/AH24</f>
        <v>1.5696347031963472E-5</v>
      </c>
      <c r="AG24" s="26">
        <f t="shared" ref="AG24:AG30" si="26">AF24/nano</f>
        <v>15696.347031963471</v>
      </c>
      <c r="AH24" s="27">
        <f t="shared" ref="AH24:AH30" si="27">AI24*hours_per_year</f>
        <v>63709.090909090904</v>
      </c>
      <c r="AI24" s="28">
        <f>AE24/AD24</f>
        <v>7.2727272727272725</v>
      </c>
      <c r="AJ24" s="38">
        <f t="shared" ref="AJ24:AJ30" si="28">100*(AI24*hours_per_year)/(AI24*hours_per_year+MTTR)</f>
        <v>99.993721855362963</v>
      </c>
      <c r="AK24" s="30">
        <f>100*(1-EXP(-1/AI24))</f>
        <v>12.846565000284215</v>
      </c>
      <c r="AL24" s="31">
        <v>4</v>
      </c>
    </row>
    <row r="25" spans="2:38" x14ac:dyDescent="0.25">
      <c r="B25" s="36" t="s">
        <v>19</v>
      </c>
      <c r="C25" s="5">
        <v>175</v>
      </c>
      <c r="D25" s="5">
        <v>139</v>
      </c>
      <c r="E25" s="5">
        <v>22</v>
      </c>
      <c r="F25" s="5">
        <v>161</v>
      </c>
      <c r="G25" s="5">
        <v>169</v>
      </c>
      <c r="H25" s="5">
        <v>317</v>
      </c>
      <c r="AC25" s="36" t="s">
        <v>14</v>
      </c>
      <c r="AD25" s="5">
        <v>5</v>
      </c>
      <c r="AE25" s="5">
        <v>47</v>
      </c>
      <c r="AF25" s="24">
        <f t="shared" ref="AF25:AF26" si="29">1/AH25</f>
        <v>1.2144175653356649E-5</v>
      </c>
      <c r="AG25" s="26">
        <f t="shared" si="26"/>
        <v>12144.175653356649</v>
      </c>
      <c r="AH25" s="27">
        <f t="shared" si="27"/>
        <v>82344</v>
      </c>
      <c r="AI25" s="28">
        <f t="shared" ref="AI25:AI26" si="30">AE25/AD25</f>
        <v>9.4</v>
      </c>
      <c r="AJ25" s="38">
        <f t="shared" si="28"/>
        <v>99.995142565696796</v>
      </c>
      <c r="AK25" s="30">
        <f t="shared" ref="AK25:AK26" si="31">100*(1-EXP(-1/AI25))</f>
        <v>10.091974647549208</v>
      </c>
      <c r="AL25" s="31">
        <v>4</v>
      </c>
    </row>
    <row r="26" spans="2:38" x14ac:dyDescent="0.25">
      <c r="AC26" s="36" t="s">
        <v>15</v>
      </c>
      <c r="AD26" s="5">
        <v>5</v>
      </c>
      <c r="AE26" s="5">
        <v>160</v>
      </c>
      <c r="AF26" s="24">
        <f t="shared" si="29"/>
        <v>3.5673515981735159E-6</v>
      </c>
      <c r="AG26" s="26">
        <f t="shared" si="26"/>
        <v>3567.3515981735159</v>
      </c>
      <c r="AH26" s="27">
        <f t="shared" si="27"/>
        <v>280320</v>
      </c>
      <c r="AI26" s="28">
        <f t="shared" si="30"/>
        <v>32</v>
      </c>
      <c r="AJ26" s="29">
        <f t="shared" si="28"/>
        <v>99.998573079722036</v>
      </c>
      <c r="AK26" s="30">
        <f t="shared" si="31"/>
        <v>3.076676552365587</v>
      </c>
      <c r="AL26" s="31">
        <v>4</v>
      </c>
    </row>
    <row r="27" spans="2:38" x14ac:dyDescent="0.25">
      <c r="AC27" s="36" t="s">
        <v>16</v>
      </c>
      <c r="AD27" s="5">
        <v>4</v>
      </c>
      <c r="AE27" s="5">
        <v>236</v>
      </c>
      <c r="AF27" s="24">
        <f t="shared" ref="AF27:AF30" si="32">1/AH27</f>
        <v>1.9348347651110595E-6</v>
      </c>
      <c r="AG27" s="26">
        <f t="shared" si="26"/>
        <v>1934.8347651110594</v>
      </c>
      <c r="AH27" s="27">
        <f t="shared" si="27"/>
        <v>516840</v>
      </c>
      <c r="AI27" s="28">
        <f t="shared" ref="AI27:AI30" si="33">AE27/AD27</f>
        <v>59</v>
      </c>
      <c r="AJ27" s="29">
        <f t="shared" si="28"/>
        <v>99.999226072083644</v>
      </c>
      <c r="AK27" s="30">
        <f t="shared" ref="AK27:AK30" si="34">100*(1-EXP(-1/AI27))</f>
        <v>1.6806323737281748</v>
      </c>
      <c r="AL27" s="31">
        <v>4</v>
      </c>
    </row>
    <row r="28" spans="2:38" x14ac:dyDescent="0.25">
      <c r="AC28" s="36" t="s">
        <v>17</v>
      </c>
      <c r="AD28" s="5">
        <v>4</v>
      </c>
      <c r="AE28" s="5">
        <v>321</v>
      </c>
      <c r="AF28" s="24">
        <f t="shared" si="32"/>
        <v>1.4224953413277571E-6</v>
      </c>
      <c r="AG28" s="26">
        <f t="shared" si="26"/>
        <v>1422.4953413277572</v>
      </c>
      <c r="AH28" s="27">
        <f t="shared" si="27"/>
        <v>702990</v>
      </c>
      <c r="AI28" s="28">
        <f t="shared" si="33"/>
        <v>80.25</v>
      </c>
      <c r="AJ28" s="29">
        <f t="shared" si="28"/>
        <v>99.999431005101044</v>
      </c>
      <c r="AK28" s="30">
        <f t="shared" si="34"/>
        <v>1.2383741677875482</v>
      </c>
      <c r="AL28" s="31">
        <v>4</v>
      </c>
    </row>
    <row r="29" spans="2:38" x14ac:dyDescent="0.25">
      <c r="AC29" s="36" t="s">
        <v>18</v>
      </c>
      <c r="AD29" s="5">
        <v>4</v>
      </c>
      <c r="AE29" s="5">
        <v>169</v>
      </c>
      <c r="AF29" s="24">
        <f t="shared" si="32"/>
        <v>2.7018994353030181E-6</v>
      </c>
      <c r="AG29" s="26">
        <f t="shared" si="26"/>
        <v>2701.899435303018</v>
      </c>
      <c r="AH29" s="27">
        <f t="shared" si="27"/>
        <v>370110</v>
      </c>
      <c r="AI29" s="28">
        <f t="shared" si="33"/>
        <v>42.25</v>
      </c>
      <c r="AJ29" s="29">
        <f t="shared" si="28"/>
        <v>99.998919251906173</v>
      </c>
      <c r="AK29" s="30">
        <f t="shared" si="34"/>
        <v>2.3390733680967446</v>
      </c>
      <c r="AL29" s="31">
        <v>4</v>
      </c>
    </row>
    <row r="30" spans="2:38" x14ac:dyDescent="0.25">
      <c r="AC30" s="36" t="s">
        <v>19</v>
      </c>
      <c r="AD30" s="5">
        <v>4</v>
      </c>
      <c r="AE30" s="5">
        <v>161</v>
      </c>
      <c r="AF30" s="24">
        <f t="shared" si="32"/>
        <v>2.8361553078646587E-6</v>
      </c>
      <c r="AG30" s="26">
        <f t="shared" si="26"/>
        <v>2836.1553078646584</v>
      </c>
      <c r="AH30" s="27">
        <f t="shared" si="27"/>
        <v>352590</v>
      </c>
      <c r="AI30" s="28">
        <f t="shared" si="33"/>
        <v>40.25</v>
      </c>
      <c r="AJ30" s="29">
        <f t="shared" si="28"/>
        <v>99.998865550746757</v>
      </c>
      <c r="AK30" s="30">
        <f t="shared" si="34"/>
        <v>2.4538630574343245</v>
      </c>
      <c r="AL30" s="31">
        <v>4</v>
      </c>
    </row>
    <row r="31" spans="2:38" ht="21" customHeight="1" x14ac:dyDescent="0.25"/>
    <row r="35" ht="25.5" customHeight="1" x14ac:dyDescent="0.25"/>
  </sheetData>
  <mergeCells count="9">
    <mergeCell ref="AG1:AL1"/>
    <mergeCell ref="A3:B3"/>
    <mergeCell ref="K1:S1"/>
    <mergeCell ref="V1:AA1"/>
    <mergeCell ref="K2:L2"/>
    <mergeCell ref="M2:N2"/>
    <mergeCell ref="P2:Q2"/>
    <mergeCell ref="R2:S2"/>
    <mergeCell ref="C2:J2"/>
  </mergeCells>
  <conditionalFormatting sqref="X15 N15">
    <cfRule type="colorScale" priority="1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14 N14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11 N11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11 S11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14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15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14:Z15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15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6:AI9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"/>
  <sheetViews>
    <sheetView topLeftCell="B1" zoomScale="115" zoomScaleNormal="115" workbookViewId="0">
      <selection activeCell="J10" sqref="J10"/>
    </sheetView>
  </sheetViews>
  <sheetFormatPr defaultRowHeight="15" x14ac:dyDescent="0.25"/>
  <cols>
    <col min="1" max="1" width="17.7109375" bestFit="1" customWidth="1"/>
    <col min="2" max="2" width="32.140625" customWidth="1"/>
    <col min="3" max="3" width="4.140625" customWidth="1"/>
    <col min="4" max="4" width="4.5703125" customWidth="1"/>
    <col min="5" max="5" width="4" bestFit="1" customWidth="1"/>
    <col min="6" max="8" width="3.28515625" bestFit="1" customWidth="1"/>
    <col min="9" max="9" width="8.5703125" customWidth="1"/>
    <col min="13" max="13" width="27.28515625" bestFit="1" customWidth="1"/>
    <col min="14" max="14" width="10.140625" bestFit="1" customWidth="1"/>
    <col min="15" max="15" width="8.85546875" customWidth="1"/>
    <col min="16" max="16" width="28.5703125" bestFit="1" customWidth="1"/>
    <col min="17" max="17" width="12" bestFit="1" customWidth="1"/>
  </cols>
  <sheetData>
    <row r="1" spans="1:12" x14ac:dyDescent="0.25">
      <c r="E1" t="s">
        <v>388</v>
      </c>
    </row>
    <row r="2" spans="1:12" ht="92.25" x14ac:dyDescent="0.25">
      <c r="A2" s="40" t="s">
        <v>21</v>
      </c>
      <c r="B2" s="15" t="s">
        <v>384</v>
      </c>
      <c r="C2" s="55" t="s">
        <v>377</v>
      </c>
      <c r="D2" s="55" t="s">
        <v>108</v>
      </c>
      <c r="E2" s="55" t="s">
        <v>387</v>
      </c>
      <c r="F2" s="55" t="s">
        <v>107</v>
      </c>
      <c r="G2" s="55" t="s">
        <v>370</v>
      </c>
      <c r="H2" s="55" t="s">
        <v>378</v>
      </c>
      <c r="I2" s="54" t="s">
        <v>385</v>
      </c>
      <c r="J2" s="57" t="s">
        <v>109</v>
      </c>
      <c r="K2" s="56" t="s">
        <v>386</v>
      </c>
    </row>
    <row r="3" spans="1:12" x14ac:dyDescent="0.25">
      <c r="A3" s="36" t="s">
        <v>11</v>
      </c>
      <c r="B3" s="5">
        <v>80</v>
      </c>
      <c r="C3" s="51"/>
      <c r="D3" s="51">
        <v>14</v>
      </c>
      <c r="E3" s="51">
        <v>1</v>
      </c>
      <c r="F3" s="51"/>
      <c r="G3" s="51"/>
      <c r="H3" s="51"/>
      <c r="I3" s="52">
        <f>SUM(C3:H3)</f>
        <v>15</v>
      </c>
      <c r="J3" s="58"/>
    </row>
    <row r="4" spans="1:12" x14ac:dyDescent="0.25">
      <c r="A4" s="36" t="s">
        <v>14</v>
      </c>
      <c r="B4" s="5">
        <v>47</v>
      </c>
      <c r="C4" s="51"/>
      <c r="D4" s="51">
        <v>3</v>
      </c>
      <c r="E4" s="51"/>
      <c r="F4" s="51"/>
      <c r="G4" s="51"/>
      <c r="H4" s="51"/>
      <c r="I4" s="52">
        <f t="shared" ref="I4:I9" si="0">SUM(C4:H4)</f>
        <v>3</v>
      </c>
      <c r="J4" s="58"/>
    </row>
    <row r="5" spans="1:12" x14ac:dyDescent="0.25">
      <c r="A5" s="36" t="s">
        <v>15</v>
      </c>
      <c r="B5" s="5">
        <v>160</v>
      </c>
      <c r="C5" s="51"/>
      <c r="D5" s="51">
        <v>20</v>
      </c>
      <c r="E5" s="51">
        <v>3</v>
      </c>
      <c r="F5" s="51">
        <v>1</v>
      </c>
      <c r="G5" s="51">
        <v>1</v>
      </c>
      <c r="H5" s="51"/>
      <c r="I5" s="52">
        <f t="shared" si="0"/>
        <v>25</v>
      </c>
      <c r="J5" s="58"/>
    </row>
    <row r="6" spans="1:12" x14ac:dyDescent="0.25">
      <c r="A6" s="36" t="s">
        <v>16</v>
      </c>
      <c r="B6" s="5">
        <v>236</v>
      </c>
      <c r="C6" s="51">
        <v>1</v>
      </c>
      <c r="D6" s="51">
        <v>59</v>
      </c>
      <c r="E6" s="51">
        <v>3</v>
      </c>
      <c r="F6" s="51">
        <v>2</v>
      </c>
      <c r="G6" s="51">
        <v>1</v>
      </c>
      <c r="H6" s="51">
        <v>41</v>
      </c>
      <c r="I6" s="52">
        <f t="shared" si="0"/>
        <v>107</v>
      </c>
      <c r="J6" s="58"/>
    </row>
    <row r="7" spans="1:12" x14ac:dyDescent="0.25">
      <c r="A7" s="36" t="s">
        <v>17</v>
      </c>
      <c r="B7" s="5">
        <v>321</v>
      </c>
      <c r="C7" s="51"/>
      <c r="D7" s="51">
        <v>1</v>
      </c>
      <c r="E7" s="51"/>
      <c r="F7" s="51"/>
      <c r="G7" s="51"/>
      <c r="H7" s="51"/>
      <c r="I7" s="52">
        <f t="shared" si="0"/>
        <v>1</v>
      </c>
      <c r="J7" s="58"/>
    </row>
    <row r="8" spans="1:12" x14ac:dyDescent="0.25">
      <c r="A8" s="36" t="s">
        <v>18</v>
      </c>
      <c r="B8" s="5">
        <v>169</v>
      </c>
      <c r="C8" s="51"/>
      <c r="D8" s="51">
        <v>4</v>
      </c>
      <c r="E8" s="51">
        <v>1</v>
      </c>
      <c r="F8" s="51">
        <v>1</v>
      </c>
      <c r="G8" s="51"/>
      <c r="H8" s="51">
        <v>1</v>
      </c>
      <c r="I8" s="52">
        <f t="shared" si="0"/>
        <v>7</v>
      </c>
      <c r="J8" s="58"/>
    </row>
    <row r="9" spans="1:12" x14ac:dyDescent="0.25">
      <c r="A9" s="36" t="s">
        <v>19</v>
      </c>
      <c r="B9" s="5">
        <v>161</v>
      </c>
      <c r="C9" s="51"/>
      <c r="D9" s="51">
        <v>9</v>
      </c>
      <c r="E9" s="51"/>
      <c r="F9" s="51"/>
      <c r="G9" s="51"/>
      <c r="H9" s="51"/>
      <c r="I9" s="52">
        <f t="shared" si="0"/>
        <v>9</v>
      </c>
      <c r="J9" s="58"/>
    </row>
    <row r="10" spans="1:12" x14ac:dyDescent="0.25">
      <c r="A10" s="53" t="s">
        <v>383</v>
      </c>
      <c r="B10" s="52">
        <f t="shared" ref="B10:I10" si="1">SUM(B3:B9)</f>
        <v>1174</v>
      </c>
      <c r="C10" s="52">
        <f t="shared" si="1"/>
        <v>1</v>
      </c>
      <c r="D10" s="52">
        <f t="shared" si="1"/>
        <v>110</v>
      </c>
      <c r="E10" s="52">
        <f t="shared" si="1"/>
        <v>8</v>
      </c>
      <c r="F10" s="52">
        <f t="shared" si="1"/>
        <v>4</v>
      </c>
      <c r="G10" s="52">
        <f t="shared" si="1"/>
        <v>2</v>
      </c>
      <c r="H10" s="52">
        <f t="shared" si="1"/>
        <v>42</v>
      </c>
      <c r="I10" s="52">
        <f t="shared" si="1"/>
        <v>167</v>
      </c>
      <c r="J10" s="58">
        <f>K10/D14</f>
        <v>71834.039580908036</v>
      </c>
      <c r="K10" s="52">
        <f>B10*hours_per_year</f>
        <v>10284240</v>
      </c>
      <c r="L10" s="61" t="s">
        <v>395</v>
      </c>
    </row>
    <row r="11" spans="1:12" x14ac:dyDescent="0.25">
      <c r="A11" s="53"/>
      <c r="B11" s="52"/>
      <c r="C11" s="60" t="s">
        <v>392</v>
      </c>
      <c r="D11" s="60" t="s">
        <v>393</v>
      </c>
      <c r="J11" s="58">
        <f>J10/5</f>
        <v>14366.807916181608</v>
      </c>
      <c r="K11" s="61" t="s">
        <v>394</v>
      </c>
    </row>
    <row r="12" spans="1:12" x14ac:dyDescent="0.25">
      <c r="B12" s="52" t="s">
        <v>390</v>
      </c>
      <c r="C12" s="51">
        <v>33</v>
      </c>
      <c r="D12" s="51">
        <f>C12*4</f>
        <v>132</v>
      </c>
    </row>
    <row r="13" spans="1:12" x14ac:dyDescent="0.25">
      <c r="B13" s="52" t="s">
        <v>391</v>
      </c>
      <c r="C13" s="51">
        <v>134</v>
      </c>
      <c r="D13" s="59">
        <f>C13*5/60</f>
        <v>11.166666666666666</v>
      </c>
    </row>
    <row r="14" spans="1:12" x14ac:dyDescent="0.25">
      <c r="B14" s="52" t="s">
        <v>389</v>
      </c>
      <c r="C14" s="51">
        <f>SUM(C12:C13)</f>
        <v>167</v>
      </c>
      <c r="D14" s="59">
        <f>SUM(D12:D13)</f>
        <v>143.16666666666666</v>
      </c>
    </row>
    <row r="16" spans="1:12" x14ac:dyDescent="0.25">
      <c r="B16" t="s">
        <v>110</v>
      </c>
      <c r="C16" t="s">
        <v>111</v>
      </c>
    </row>
  </sheetData>
  <pageMargins left="0.7" right="0.7" top="0.75" bottom="0.75" header="0.3" footer="0.3"/>
  <ignoredErrors>
    <ignoredError sqref="I3:I9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I11"/>
  <sheetViews>
    <sheetView workbookViewId="0">
      <selection activeCell="B5" sqref="B5:H10"/>
    </sheetView>
  </sheetViews>
  <sheetFormatPr defaultRowHeight="15" x14ac:dyDescent="0.25"/>
  <cols>
    <col min="1" max="1" width="19.42578125" customWidth="1"/>
    <col min="2" max="3" width="3.140625" customWidth="1"/>
    <col min="4" max="4" width="3" bestFit="1" customWidth="1"/>
    <col min="5" max="5" width="4" customWidth="1"/>
    <col min="6" max="8" width="3" bestFit="1" customWidth="1"/>
    <col min="9" max="9" width="11.28515625" bestFit="1" customWidth="1"/>
  </cols>
  <sheetData>
    <row r="3" spans="1:9" x14ac:dyDescent="0.25">
      <c r="A3" s="48" t="s">
        <v>382</v>
      </c>
      <c r="B3" s="48" t="s">
        <v>379</v>
      </c>
    </row>
    <row r="4" spans="1:9" x14ac:dyDescent="0.25">
      <c r="A4" s="48" t="s">
        <v>381</v>
      </c>
      <c r="B4" t="s">
        <v>11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  <c r="I4" t="s">
        <v>380</v>
      </c>
    </row>
    <row r="5" spans="1:9" x14ac:dyDescent="0.25">
      <c r="A5" s="49" t="s">
        <v>377</v>
      </c>
      <c r="B5" s="50"/>
      <c r="C5" s="50"/>
      <c r="D5" s="50"/>
      <c r="E5" s="50">
        <v>1</v>
      </c>
      <c r="F5" s="50"/>
      <c r="G5" s="50"/>
      <c r="H5" s="50"/>
      <c r="I5" s="50">
        <v>1</v>
      </c>
    </row>
    <row r="6" spans="1:9" x14ac:dyDescent="0.25">
      <c r="A6" s="49" t="s">
        <v>108</v>
      </c>
      <c r="B6" s="50">
        <v>14</v>
      </c>
      <c r="C6" s="50">
        <v>3</v>
      </c>
      <c r="D6" s="50">
        <v>20</v>
      </c>
      <c r="E6" s="50">
        <v>59</v>
      </c>
      <c r="F6" s="50">
        <v>1</v>
      </c>
      <c r="G6" s="50">
        <v>4</v>
      </c>
      <c r="H6" s="50">
        <v>9</v>
      </c>
      <c r="I6" s="50">
        <v>110</v>
      </c>
    </row>
    <row r="7" spans="1:9" x14ac:dyDescent="0.25">
      <c r="A7" s="49" t="s">
        <v>369</v>
      </c>
      <c r="B7" s="50">
        <v>1</v>
      </c>
      <c r="C7" s="50"/>
      <c r="D7" s="50">
        <v>3</v>
      </c>
      <c r="E7" s="50">
        <v>3</v>
      </c>
      <c r="F7" s="50"/>
      <c r="G7" s="50">
        <v>1</v>
      </c>
      <c r="H7" s="50"/>
      <c r="I7" s="50">
        <v>8</v>
      </c>
    </row>
    <row r="8" spans="1:9" x14ac:dyDescent="0.25">
      <c r="A8" s="49" t="s">
        <v>107</v>
      </c>
      <c r="B8" s="50"/>
      <c r="C8" s="50"/>
      <c r="D8" s="50">
        <v>1</v>
      </c>
      <c r="E8" s="50">
        <v>2</v>
      </c>
      <c r="F8" s="50"/>
      <c r="G8" s="50">
        <v>1</v>
      </c>
      <c r="H8" s="50"/>
      <c r="I8" s="50">
        <v>4</v>
      </c>
    </row>
    <row r="9" spans="1:9" x14ac:dyDescent="0.25">
      <c r="A9" s="49" t="s">
        <v>370</v>
      </c>
      <c r="B9" s="50"/>
      <c r="C9" s="50"/>
      <c r="D9" s="50">
        <v>1</v>
      </c>
      <c r="E9" s="50">
        <v>1</v>
      </c>
      <c r="F9" s="50"/>
      <c r="G9" s="50"/>
      <c r="H9" s="50"/>
      <c r="I9" s="50">
        <v>2</v>
      </c>
    </row>
    <row r="10" spans="1:9" x14ac:dyDescent="0.25">
      <c r="A10" s="49" t="s">
        <v>378</v>
      </c>
      <c r="B10" s="50"/>
      <c r="C10" s="50"/>
      <c r="D10" s="50"/>
      <c r="E10" s="50">
        <v>41</v>
      </c>
      <c r="F10" s="50"/>
      <c r="G10" s="50">
        <v>1</v>
      </c>
      <c r="H10" s="50"/>
      <c r="I10" s="50">
        <v>42</v>
      </c>
    </row>
    <row r="11" spans="1:9" x14ac:dyDescent="0.25">
      <c r="A11" s="49" t="s">
        <v>380</v>
      </c>
      <c r="B11" s="50">
        <v>15</v>
      </c>
      <c r="C11" s="50">
        <v>3</v>
      </c>
      <c r="D11" s="50">
        <v>25</v>
      </c>
      <c r="E11" s="50">
        <v>107</v>
      </c>
      <c r="F11" s="50">
        <v>1</v>
      </c>
      <c r="G11" s="50">
        <v>7</v>
      </c>
      <c r="H11" s="50">
        <v>9</v>
      </c>
      <c r="I11" s="50">
        <v>167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8"/>
  <sheetViews>
    <sheetView workbookViewId="0">
      <selection activeCell="G25" sqref="G25"/>
    </sheetView>
  </sheetViews>
  <sheetFormatPr defaultRowHeight="15" x14ac:dyDescent="0.25"/>
  <cols>
    <col min="1" max="1" width="19.42578125" bestFit="1" customWidth="1"/>
    <col min="2" max="2" width="50.140625" bestFit="1" customWidth="1"/>
    <col min="8" max="8" width="16.42578125" bestFit="1" customWidth="1"/>
  </cols>
  <sheetData>
    <row r="1" spans="1:9" x14ac:dyDescent="0.25">
      <c r="A1" s="47" t="s">
        <v>368</v>
      </c>
      <c r="B1" s="47" t="s">
        <v>367</v>
      </c>
      <c r="C1" s="47" t="s">
        <v>21</v>
      </c>
    </row>
    <row r="2" spans="1:9" x14ac:dyDescent="0.25">
      <c r="A2" t="s">
        <v>108</v>
      </c>
      <c r="B2" t="s">
        <v>113</v>
      </c>
      <c r="C2" t="s">
        <v>16</v>
      </c>
    </row>
    <row r="3" spans="1:9" x14ac:dyDescent="0.25">
      <c r="A3" t="s">
        <v>108</v>
      </c>
      <c r="B3" t="s">
        <v>114</v>
      </c>
      <c r="C3" t="s">
        <v>16</v>
      </c>
    </row>
    <row r="4" spans="1:9" x14ac:dyDescent="0.25">
      <c r="A4" t="s">
        <v>108</v>
      </c>
      <c r="B4" t="s">
        <v>115</v>
      </c>
      <c r="C4" t="s">
        <v>16</v>
      </c>
    </row>
    <row r="5" spans="1:9" x14ac:dyDescent="0.25">
      <c r="A5" t="s">
        <v>108</v>
      </c>
      <c r="B5" t="s">
        <v>116</v>
      </c>
      <c r="C5" t="s">
        <v>16</v>
      </c>
    </row>
    <row r="6" spans="1:9" x14ac:dyDescent="0.25">
      <c r="A6" t="s">
        <v>108</v>
      </c>
      <c r="B6" t="s">
        <v>117</v>
      </c>
      <c r="C6" t="s">
        <v>16</v>
      </c>
      <c r="H6" t="s">
        <v>377</v>
      </c>
      <c r="I6">
        <f>SUMPRODUCT(NOT(ISERROR(SEARCH("Aspect 127",A2:A168)))*1)</f>
        <v>1</v>
      </c>
    </row>
    <row r="7" spans="1:9" x14ac:dyDescent="0.25">
      <c r="A7" t="s">
        <v>108</v>
      </c>
      <c r="B7" t="s">
        <v>118</v>
      </c>
      <c r="C7" t="s">
        <v>16</v>
      </c>
      <c r="E7" t="s">
        <v>11</v>
      </c>
      <c r="F7">
        <f>SUMPRODUCT(NOT(ISERROR(SEARCH("P1",C2:C168)))*1)</f>
        <v>15</v>
      </c>
      <c r="H7" t="s">
        <v>108</v>
      </c>
      <c r="I7">
        <f>SUMPRODUCT(NOT(ISERROR(SEARCH("Balise disconnect",A2:A168)))*1)</f>
        <v>110</v>
      </c>
    </row>
    <row r="8" spans="1:9" x14ac:dyDescent="0.25">
      <c r="A8" t="s">
        <v>108</v>
      </c>
      <c r="B8" t="s">
        <v>119</v>
      </c>
      <c r="C8" t="s">
        <v>16</v>
      </c>
      <c r="E8" t="s">
        <v>14</v>
      </c>
      <c r="F8">
        <f>SUMPRODUCT(NOT(ISERROR(SEARCH("P2",C2:C168)))*1)</f>
        <v>3</v>
      </c>
      <c r="H8" t="s">
        <v>369</v>
      </c>
      <c r="I8">
        <f>SUMPRODUCT(NOT(ISERROR(SEARCH("CAN bus",A2:A168)))*1)</f>
        <v>8</v>
      </c>
    </row>
    <row r="9" spans="1:9" x14ac:dyDescent="0.25">
      <c r="A9" t="s">
        <v>108</v>
      </c>
      <c r="B9" t="s">
        <v>120</v>
      </c>
      <c r="C9" t="s">
        <v>16</v>
      </c>
      <c r="E9" t="s">
        <v>15</v>
      </c>
      <c r="F9">
        <f>SUMPRODUCT(NOT(ISERROR(SEARCH("S1",C2:C168)))*1)</f>
        <v>25</v>
      </c>
      <c r="H9" t="s">
        <v>107</v>
      </c>
      <c r="I9">
        <f>SUMPRODUCT(NOT(ISERROR(SEARCH("Critical",A2:A168)))*1)</f>
        <v>4</v>
      </c>
    </row>
    <row r="10" spans="1:9" x14ac:dyDescent="0.25">
      <c r="A10" t="s">
        <v>108</v>
      </c>
      <c r="B10" t="s">
        <v>121</v>
      </c>
      <c r="C10" t="s">
        <v>16</v>
      </c>
      <c r="E10" t="s">
        <v>16</v>
      </c>
      <c r="F10">
        <f>SUMPRODUCT(NOT(ISERROR(SEARCH("S2",C2:C168)))*1)</f>
        <v>107</v>
      </c>
      <c r="H10" t="s">
        <v>370</v>
      </c>
      <c r="I10">
        <f>SUMPRODUCT(NOT(ISERROR(SEARCH("Error shut down",A2:A168)))*1)</f>
        <v>2</v>
      </c>
    </row>
    <row r="11" spans="1:9" x14ac:dyDescent="0.25">
      <c r="A11" t="s">
        <v>108</v>
      </c>
      <c r="B11" t="s">
        <v>122</v>
      </c>
      <c r="C11" t="s">
        <v>16</v>
      </c>
      <c r="E11" t="s">
        <v>17</v>
      </c>
      <c r="F11">
        <f>SUMPRODUCT(NOT(ISERROR(SEARCH("S3",C2:C168)))*1)</f>
        <v>1</v>
      </c>
      <c r="H11" t="s">
        <v>378</v>
      </c>
      <c r="I11">
        <f>SUMPRODUCT(NOT(ISERROR(SEARCH("sync time expiration",A2:A168)))*1)</f>
        <v>42</v>
      </c>
    </row>
    <row r="12" spans="1:9" x14ac:dyDescent="0.25">
      <c r="A12" t="s">
        <v>108</v>
      </c>
      <c r="B12" t="s">
        <v>123</v>
      </c>
      <c r="C12" t="s">
        <v>16</v>
      </c>
      <c r="E12" t="s">
        <v>18</v>
      </c>
      <c r="F12">
        <f>SUMPRODUCT(NOT(ISERROR(SEARCH("S4",C2:C168)))*1)</f>
        <v>7</v>
      </c>
      <c r="I12">
        <f>SUM(I6:I11)</f>
        <v>167</v>
      </c>
    </row>
    <row r="13" spans="1:9" x14ac:dyDescent="0.25">
      <c r="A13" t="s">
        <v>108</v>
      </c>
      <c r="B13" t="s">
        <v>124</v>
      </c>
      <c r="C13" t="s">
        <v>16</v>
      </c>
      <c r="E13" t="s">
        <v>19</v>
      </c>
      <c r="F13">
        <f>SUMPRODUCT(NOT(ISERROR(SEARCH("S5",C2:C168)))*1)</f>
        <v>9</v>
      </c>
    </row>
    <row r="14" spans="1:9" x14ac:dyDescent="0.25">
      <c r="A14" t="s">
        <v>108</v>
      </c>
      <c r="B14" t="s">
        <v>125</v>
      </c>
      <c r="C14" t="s">
        <v>16</v>
      </c>
    </row>
    <row r="15" spans="1:9" x14ac:dyDescent="0.25">
      <c r="A15" t="s">
        <v>108</v>
      </c>
      <c r="B15" t="s">
        <v>126</v>
      </c>
      <c r="C15" t="s">
        <v>16</v>
      </c>
    </row>
    <row r="16" spans="1:9" x14ac:dyDescent="0.25">
      <c r="A16" t="s">
        <v>108</v>
      </c>
      <c r="B16" t="s">
        <v>127</v>
      </c>
      <c r="C16" t="s">
        <v>11</v>
      </c>
    </row>
    <row r="17" spans="1:3" x14ac:dyDescent="0.25">
      <c r="A17" t="s">
        <v>108</v>
      </c>
      <c r="B17" t="s">
        <v>128</v>
      </c>
      <c r="C17" t="s">
        <v>11</v>
      </c>
    </row>
    <row r="18" spans="1:3" x14ac:dyDescent="0.25">
      <c r="A18" t="s">
        <v>108</v>
      </c>
      <c r="B18" t="s">
        <v>129</v>
      </c>
      <c r="C18" t="s">
        <v>11</v>
      </c>
    </row>
    <row r="19" spans="1:3" x14ac:dyDescent="0.25">
      <c r="A19" t="s">
        <v>108</v>
      </c>
      <c r="B19" t="s">
        <v>130</v>
      </c>
      <c r="C19" t="s">
        <v>11</v>
      </c>
    </row>
    <row r="20" spans="1:3" x14ac:dyDescent="0.25">
      <c r="A20" t="s">
        <v>108</v>
      </c>
      <c r="B20" t="s">
        <v>131</v>
      </c>
      <c r="C20" t="s">
        <v>11</v>
      </c>
    </row>
    <row r="21" spans="1:3" x14ac:dyDescent="0.25">
      <c r="A21" t="s">
        <v>108</v>
      </c>
      <c r="B21" t="s">
        <v>132</v>
      </c>
      <c r="C21" t="s">
        <v>11</v>
      </c>
    </row>
    <row r="22" spans="1:3" x14ac:dyDescent="0.25">
      <c r="A22" t="s">
        <v>108</v>
      </c>
      <c r="B22" t="s">
        <v>133</v>
      </c>
      <c r="C22" t="s">
        <v>11</v>
      </c>
    </row>
    <row r="23" spans="1:3" x14ac:dyDescent="0.25">
      <c r="A23" t="s">
        <v>108</v>
      </c>
      <c r="B23" t="s">
        <v>134</v>
      </c>
      <c r="C23" t="s">
        <v>11</v>
      </c>
    </row>
    <row r="24" spans="1:3" x14ac:dyDescent="0.25">
      <c r="A24" t="s">
        <v>108</v>
      </c>
      <c r="B24" t="s">
        <v>135</v>
      </c>
      <c r="C24" t="s">
        <v>11</v>
      </c>
    </row>
    <row r="25" spans="1:3" x14ac:dyDescent="0.25">
      <c r="A25" t="s">
        <v>108</v>
      </c>
      <c r="B25" t="s">
        <v>136</v>
      </c>
      <c r="C25" t="s">
        <v>11</v>
      </c>
    </row>
    <row r="26" spans="1:3" x14ac:dyDescent="0.25">
      <c r="A26" t="s">
        <v>108</v>
      </c>
      <c r="B26" t="s">
        <v>137</v>
      </c>
      <c r="C26" t="s">
        <v>11</v>
      </c>
    </row>
    <row r="27" spans="1:3" x14ac:dyDescent="0.25">
      <c r="A27" t="s">
        <v>108</v>
      </c>
      <c r="B27" t="s">
        <v>138</v>
      </c>
      <c r="C27" t="s">
        <v>11</v>
      </c>
    </row>
    <row r="28" spans="1:3" x14ac:dyDescent="0.25">
      <c r="A28" t="s">
        <v>108</v>
      </c>
      <c r="B28" t="s">
        <v>139</v>
      </c>
      <c r="C28" t="s">
        <v>11</v>
      </c>
    </row>
    <row r="29" spans="1:3" x14ac:dyDescent="0.25">
      <c r="A29" t="s">
        <v>108</v>
      </c>
      <c r="B29" t="s">
        <v>140</v>
      </c>
      <c r="C29" t="s">
        <v>11</v>
      </c>
    </row>
    <row r="30" spans="1:3" x14ac:dyDescent="0.25">
      <c r="A30" t="s">
        <v>108</v>
      </c>
      <c r="B30" t="s">
        <v>141</v>
      </c>
      <c r="C30" t="s">
        <v>16</v>
      </c>
    </row>
    <row r="31" spans="1:3" x14ac:dyDescent="0.25">
      <c r="A31" t="s">
        <v>108</v>
      </c>
      <c r="B31" t="s">
        <v>142</v>
      </c>
      <c r="C31" t="s">
        <v>16</v>
      </c>
    </row>
    <row r="32" spans="1:3" x14ac:dyDescent="0.25">
      <c r="A32" t="s">
        <v>108</v>
      </c>
      <c r="B32" t="s">
        <v>143</v>
      </c>
      <c r="C32" t="s">
        <v>16</v>
      </c>
    </row>
    <row r="33" spans="1:3" x14ac:dyDescent="0.25">
      <c r="A33" t="s">
        <v>108</v>
      </c>
      <c r="B33" t="s">
        <v>144</v>
      </c>
      <c r="C33" t="s">
        <v>16</v>
      </c>
    </row>
    <row r="34" spans="1:3" x14ac:dyDescent="0.25">
      <c r="A34" t="s">
        <v>108</v>
      </c>
      <c r="B34" t="s">
        <v>145</v>
      </c>
      <c r="C34" t="s">
        <v>16</v>
      </c>
    </row>
    <row r="35" spans="1:3" x14ac:dyDescent="0.25">
      <c r="A35" t="s">
        <v>108</v>
      </c>
      <c r="B35" t="s">
        <v>146</v>
      </c>
      <c r="C35" t="s">
        <v>16</v>
      </c>
    </row>
    <row r="36" spans="1:3" x14ac:dyDescent="0.25">
      <c r="A36" t="s">
        <v>108</v>
      </c>
      <c r="B36" t="s">
        <v>147</v>
      </c>
      <c r="C36" t="s">
        <v>16</v>
      </c>
    </row>
    <row r="37" spans="1:3" x14ac:dyDescent="0.25">
      <c r="A37" t="s">
        <v>108</v>
      </c>
      <c r="B37" t="s">
        <v>148</v>
      </c>
      <c r="C37" t="s">
        <v>16</v>
      </c>
    </row>
    <row r="38" spans="1:3" x14ac:dyDescent="0.25">
      <c r="A38" t="s">
        <v>108</v>
      </c>
      <c r="B38" t="s">
        <v>149</v>
      </c>
      <c r="C38" t="s">
        <v>16</v>
      </c>
    </row>
    <row r="39" spans="1:3" x14ac:dyDescent="0.25">
      <c r="A39" t="s">
        <v>108</v>
      </c>
      <c r="B39" t="s">
        <v>150</v>
      </c>
      <c r="C39" t="s">
        <v>16</v>
      </c>
    </row>
    <row r="40" spans="1:3" x14ac:dyDescent="0.25">
      <c r="A40" t="s">
        <v>108</v>
      </c>
      <c r="B40" t="s">
        <v>151</v>
      </c>
      <c r="C40" t="s">
        <v>16</v>
      </c>
    </row>
    <row r="41" spans="1:3" x14ac:dyDescent="0.25">
      <c r="A41" t="s">
        <v>108</v>
      </c>
      <c r="B41" t="s">
        <v>152</v>
      </c>
      <c r="C41" t="s">
        <v>16</v>
      </c>
    </row>
    <row r="42" spans="1:3" x14ac:dyDescent="0.25">
      <c r="A42" t="s">
        <v>108</v>
      </c>
      <c r="B42" t="s">
        <v>153</v>
      </c>
      <c r="C42" t="s">
        <v>16</v>
      </c>
    </row>
    <row r="43" spans="1:3" x14ac:dyDescent="0.25">
      <c r="A43" t="s">
        <v>108</v>
      </c>
      <c r="B43" t="s">
        <v>154</v>
      </c>
      <c r="C43" t="s">
        <v>16</v>
      </c>
    </row>
    <row r="44" spans="1:3" x14ac:dyDescent="0.25">
      <c r="A44" t="s">
        <v>108</v>
      </c>
      <c r="B44" t="s">
        <v>155</v>
      </c>
      <c r="C44" t="s">
        <v>16</v>
      </c>
    </row>
    <row r="45" spans="1:3" x14ac:dyDescent="0.25">
      <c r="A45" t="s">
        <v>108</v>
      </c>
      <c r="B45" t="s">
        <v>156</v>
      </c>
      <c r="C45" t="s">
        <v>16</v>
      </c>
    </row>
    <row r="46" spans="1:3" x14ac:dyDescent="0.25">
      <c r="A46" t="s">
        <v>108</v>
      </c>
      <c r="B46" t="s">
        <v>157</v>
      </c>
      <c r="C46" t="s">
        <v>16</v>
      </c>
    </row>
    <row r="47" spans="1:3" x14ac:dyDescent="0.25">
      <c r="A47" t="s">
        <v>108</v>
      </c>
      <c r="B47" t="s">
        <v>158</v>
      </c>
      <c r="C47" t="s">
        <v>18</v>
      </c>
    </row>
    <row r="48" spans="1:3" x14ac:dyDescent="0.25">
      <c r="A48" t="s">
        <v>108</v>
      </c>
      <c r="B48" t="s">
        <v>159</v>
      </c>
      <c r="C48" t="s">
        <v>18</v>
      </c>
    </row>
    <row r="49" spans="1:3" x14ac:dyDescent="0.25">
      <c r="A49" t="s">
        <v>108</v>
      </c>
      <c r="B49" t="s">
        <v>160</v>
      </c>
      <c r="C49" t="s">
        <v>18</v>
      </c>
    </row>
    <row r="50" spans="1:3" x14ac:dyDescent="0.25">
      <c r="A50" t="s">
        <v>108</v>
      </c>
      <c r="B50" t="s">
        <v>161</v>
      </c>
      <c r="C50" t="s">
        <v>18</v>
      </c>
    </row>
    <row r="51" spans="1:3" x14ac:dyDescent="0.25">
      <c r="A51" t="s">
        <v>108</v>
      </c>
      <c r="B51" t="s">
        <v>162</v>
      </c>
      <c r="C51" t="s">
        <v>15</v>
      </c>
    </row>
    <row r="52" spans="1:3" x14ac:dyDescent="0.25">
      <c r="A52" t="s">
        <v>108</v>
      </c>
      <c r="B52" t="s">
        <v>163</v>
      </c>
      <c r="C52" t="s">
        <v>15</v>
      </c>
    </row>
    <row r="53" spans="1:3" x14ac:dyDescent="0.25">
      <c r="A53" t="s">
        <v>108</v>
      </c>
      <c r="B53" t="s">
        <v>164</v>
      </c>
      <c r="C53" t="s">
        <v>15</v>
      </c>
    </row>
    <row r="54" spans="1:3" x14ac:dyDescent="0.25">
      <c r="A54" t="s">
        <v>108</v>
      </c>
      <c r="B54" t="s">
        <v>165</v>
      </c>
      <c r="C54" t="s">
        <v>15</v>
      </c>
    </row>
    <row r="55" spans="1:3" x14ac:dyDescent="0.25">
      <c r="A55" t="s">
        <v>108</v>
      </c>
      <c r="B55" t="s">
        <v>166</v>
      </c>
      <c r="C55" t="s">
        <v>15</v>
      </c>
    </row>
    <row r="56" spans="1:3" x14ac:dyDescent="0.25">
      <c r="A56" t="s">
        <v>108</v>
      </c>
      <c r="B56" t="s">
        <v>167</v>
      </c>
      <c r="C56" t="s">
        <v>15</v>
      </c>
    </row>
    <row r="57" spans="1:3" x14ac:dyDescent="0.25">
      <c r="A57" t="s">
        <v>108</v>
      </c>
      <c r="B57" t="s">
        <v>168</v>
      </c>
      <c r="C57" t="s">
        <v>15</v>
      </c>
    </row>
    <row r="58" spans="1:3" x14ac:dyDescent="0.25">
      <c r="A58" t="s">
        <v>108</v>
      </c>
      <c r="B58" t="s">
        <v>169</v>
      </c>
      <c r="C58" t="s">
        <v>15</v>
      </c>
    </row>
    <row r="59" spans="1:3" x14ac:dyDescent="0.25">
      <c r="A59" t="s">
        <v>108</v>
      </c>
      <c r="B59" t="s">
        <v>170</v>
      </c>
      <c r="C59" t="s">
        <v>15</v>
      </c>
    </row>
    <row r="60" spans="1:3" x14ac:dyDescent="0.25">
      <c r="A60" t="s">
        <v>108</v>
      </c>
      <c r="B60" t="s">
        <v>171</v>
      </c>
      <c r="C60" t="s">
        <v>15</v>
      </c>
    </row>
    <row r="61" spans="1:3" x14ac:dyDescent="0.25">
      <c r="A61" t="s">
        <v>108</v>
      </c>
      <c r="B61" t="s">
        <v>172</v>
      </c>
      <c r="C61" t="s">
        <v>19</v>
      </c>
    </row>
    <row r="62" spans="1:3" x14ac:dyDescent="0.25">
      <c r="A62" t="s">
        <v>108</v>
      </c>
      <c r="B62" t="s">
        <v>173</v>
      </c>
      <c r="C62" t="s">
        <v>16</v>
      </c>
    </row>
    <row r="63" spans="1:3" x14ac:dyDescent="0.25">
      <c r="A63" t="s">
        <v>108</v>
      </c>
      <c r="B63" t="s">
        <v>174</v>
      </c>
      <c r="C63" t="s">
        <v>14</v>
      </c>
    </row>
    <row r="64" spans="1:3" x14ac:dyDescent="0.25">
      <c r="A64" t="s">
        <v>108</v>
      </c>
      <c r="B64" t="s">
        <v>175</v>
      </c>
      <c r="C64" t="s">
        <v>19</v>
      </c>
    </row>
    <row r="65" spans="1:3" x14ac:dyDescent="0.25">
      <c r="A65" t="s">
        <v>108</v>
      </c>
      <c r="B65" t="s">
        <v>176</v>
      </c>
      <c r="C65" t="s">
        <v>19</v>
      </c>
    </row>
    <row r="66" spans="1:3" x14ac:dyDescent="0.25">
      <c r="A66" t="s">
        <v>108</v>
      </c>
      <c r="B66" t="s">
        <v>177</v>
      </c>
      <c r="C66" t="s">
        <v>19</v>
      </c>
    </row>
    <row r="67" spans="1:3" x14ac:dyDescent="0.25">
      <c r="A67" t="s">
        <v>108</v>
      </c>
      <c r="B67" t="s">
        <v>178</v>
      </c>
      <c r="C67" t="s">
        <v>15</v>
      </c>
    </row>
    <row r="68" spans="1:3" x14ac:dyDescent="0.25">
      <c r="A68" t="s">
        <v>108</v>
      </c>
      <c r="B68" t="s">
        <v>179</v>
      </c>
      <c r="C68" t="s">
        <v>15</v>
      </c>
    </row>
    <row r="69" spans="1:3" x14ac:dyDescent="0.25">
      <c r="A69" t="s">
        <v>108</v>
      </c>
      <c r="B69" t="s">
        <v>180</v>
      </c>
      <c r="C69" t="s">
        <v>15</v>
      </c>
    </row>
    <row r="70" spans="1:3" x14ac:dyDescent="0.25">
      <c r="A70" t="s">
        <v>108</v>
      </c>
      <c r="B70" t="s">
        <v>181</v>
      </c>
      <c r="C70" t="s">
        <v>15</v>
      </c>
    </row>
    <row r="71" spans="1:3" x14ac:dyDescent="0.25">
      <c r="A71" t="s">
        <v>108</v>
      </c>
      <c r="B71" t="s">
        <v>182</v>
      </c>
      <c r="C71" t="s">
        <v>16</v>
      </c>
    </row>
    <row r="72" spans="1:3" x14ac:dyDescent="0.25">
      <c r="A72" t="s">
        <v>108</v>
      </c>
      <c r="B72" t="s">
        <v>183</v>
      </c>
      <c r="C72" t="s">
        <v>16</v>
      </c>
    </row>
    <row r="73" spans="1:3" x14ac:dyDescent="0.25">
      <c r="A73" t="s">
        <v>108</v>
      </c>
      <c r="B73" t="s">
        <v>184</v>
      </c>
      <c r="C73" t="s">
        <v>16</v>
      </c>
    </row>
    <row r="74" spans="1:3" x14ac:dyDescent="0.25">
      <c r="A74" t="s">
        <v>108</v>
      </c>
      <c r="B74" t="s">
        <v>185</v>
      </c>
      <c r="C74" t="s">
        <v>16</v>
      </c>
    </row>
    <row r="75" spans="1:3" x14ac:dyDescent="0.25">
      <c r="A75" t="s">
        <v>108</v>
      </c>
      <c r="B75" t="s">
        <v>186</v>
      </c>
      <c r="C75" t="s">
        <v>16</v>
      </c>
    </row>
    <row r="76" spans="1:3" x14ac:dyDescent="0.25">
      <c r="A76" t="s">
        <v>108</v>
      </c>
      <c r="B76" t="s">
        <v>187</v>
      </c>
      <c r="C76" t="s">
        <v>16</v>
      </c>
    </row>
    <row r="77" spans="1:3" x14ac:dyDescent="0.25">
      <c r="A77" t="s">
        <v>108</v>
      </c>
      <c r="B77" t="s">
        <v>188</v>
      </c>
      <c r="C77" t="s">
        <v>16</v>
      </c>
    </row>
    <row r="78" spans="1:3" x14ac:dyDescent="0.25">
      <c r="A78" t="s">
        <v>108</v>
      </c>
      <c r="B78" t="s">
        <v>189</v>
      </c>
      <c r="C78" t="s">
        <v>16</v>
      </c>
    </row>
    <row r="79" spans="1:3" x14ac:dyDescent="0.25">
      <c r="A79" t="s">
        <v>108</v>
      </c>
      <c r="B79" t="s">
        <v>190</v>
      </c>
      <c r="C79" t="s">
        <v>16</v>
      </c>
    </row>
    <row r="80" spans="1:3" x14ac:dyDescent="0.25">
      <c r="A80" t="s">
        <v>108</v>
      </c>
      <c r="B80" t="s">
        <v>191</v>
      </c>
      <c r="C80" t="s">
        <v>16</v>
      </c>
    </row>
    <row r="81" spans="1:3" x14ac:dyDescent="0.25">
      <c r="A81" t="s">
        <v>108</v>
      </c>
      <c r="B81" t="s">
        <v>192</v>
      </c>
      <c r="C81" t="s">
        <v>16</v>
      </c>
    </row>
    <row r="82" spans="1:3" x14ac:dyDescent="0.25">
      <c r="A82" t="s">
        <v>108</v>
      </c>
      <c r="B82" t="s">
        <v>193</v>
      </c>
      <c r="C82" t="s">
        <v>16</v>
      </c>
    </row>
    <row r="83" spans="1:3" x14ac:dyDescent="0.25">
      <c r="A83" t="s">
        <v>108</v>
      </c>
      <c r="B83" t="s">
        <v>194</v>
      </c>
      <c r="C83" t="s">
        <v>16</v>
      </c>
    </row>
    <row r="84" spans="1:3" x14ac:dyDescent="0.25">
      <c r="A84" t="s">
        <v>108</v>
      </c>
      <c r="B84" t="s">
        <v>195</v>
      </c>
      <c r="C84" t="s">
        <v>16</v>
      </c>
    </row>
    <row r="85" spans="1:3" x14ac:dyDescent="0.25">
      <c r="A85" t="s">
        <v>108</v>
      </c>
      <c r="B85" t="s">
        <v>196</v>
      </c>
      <c r="C85" t="s">
        <v>16</v>
      </c>
    </row>
    <row r="86" spans="1:3" x14ac:dyDescent="0.25">
      <c r="A86" t="s">
        <v>108</v>
      </c>
      <c r="B86" t="s">
        <v>197</v>
      </c>
      <c r="C86" t="s">
        <v>16</v>
      </c>
    </row>
    <row r="87" spans="1:3" x14ac:dyDescent="0.25">
      <c r="A87" t="s">
        <v>108</v>
      </c>
      <c r="B87" t="s">
        <v>198</v>
      </c>
      <c r="C87" t="s">
        <v>16</v>
      </c>
    </row>
    <row r="88" spans="1:3" x14ac:dyDescent="0.25">
      <c r="A88" t="s">
        <v>108</v>
      </c>
      <c r="B88" t="s">
        <v>199</v>
      </c>
      <c r="C88" t="s">
        <v>16</v>
      </c>
    </row>
    <row r="89" spans="1:3" x14ac:dyDescent="0.25">
      <c r="A89" t="s">
        <v>108</v>
      </c>
      <c r="B89" t="s">
        <v>200</v>
      </c>
      <c r="C89" t="s">
        <v>16</v>
      </c>
    </row>
    <row r="90" spans="1:3" x14ac:dyDescent="0.25">
      <c r="A90" t="s">
        <v>108</v>
      </c>
      <c r="B90" t="s">
        <v>201</v>
      </c>
      <c r="C90" t="s">
        <v>15</v>
      </c>
    </row>
    <row r="91" spans="1:3" x14ac:dyDescent="0.25">
      <c r="A91" t="s">
        <v>108</v>
      </c>
      <c r="B91" t="s">
        <v>202</v>
      </c>
      <c r="C91" t="s">
        <v>15</v>
      </c>
    </row>
    <row r="92" spans="1:3" x14ac:dyDescent="0.25">
      <c r="A92" t="s">
        <v>108</v>
      </c>
      <c r="B92" t="s">
        <v>203</v>
      </c>
      <c r="C92" t="s">
        <v>19</v>
      </c>
    </row>
    <row r="93" spans="1:3" x14ac:dyDescent="0.25">
      <c r="A93" t="s">
        <v>108</v>
      </c>
      <c r="B93" t="s">
        <v>204</v>
      </c>
      <c r="C93" t="s">
        <v>19</v>
      </c>
    </row>
    <row r="94" spans="1:3" x14ac:dyDescent="0.25">
      <c r="A94" t="s">
        <v>108</v>
      </c>
      <c r="B94" t="s">
        <v>205</v>
      </c>
      <c r="C94" t="s">
        <v>19</v>
      </c>
    </row>
    <row r="95" spans="1:3" x14ac:dyDescent="0.25">
      <c r="A95" t="s">
        <v>108</v>
      </c>
      <c r="B95" t="s">
        <v>206</v>
      </c>
      <c r="C95" t="s">
        <v>19</v>
      </c>
    </row>
    <row r="96" spans="1:3" x14ac:dyDescent="0.25">
      <c r="A96" t="s">
        <v>108</v>
      </c>
      <c r="B96" t="s">
        <v>207</v>
      </c>
      <c r="C96" t="s">
        <v>16</v>
      </c>
    </row>
    <row r="97" spans="1:3" x14ac:dyDescent="0.25">
      <c r="A97" t="s">
        <v>108</v>
      </c>
      <c r="B97" t="s">
        <v>208</v>
      </c>
      <c r="C97" t="s">
        <v>16</v>
      </c>
    </row>
    <row r="98" spans="1:3" x14ac:dyDescent="0.25">
      <c r="A98" t="s">
        <v>108</v>
      </c>
      <c r="B98" t="s">
        <v>209</v>
      </c>
      <c r="C98" t="s">
        <v>14</v>
      </c>
    </row>
    <row r="99" spans="1:3" x14ac:dyDescent="0.25">
      <c r="A99" t="s">
        <v>108</v>
      </c>
      <c r="B99" t="s">
        <v>210</v>
      </c>
      <c r="C99" t="s">
        <v>14</v>
      </c>
    </row>
    <row r="100" spans="1:3" x14ac:dyDescent="0.25">
      <c r="A100" t="s">
        <v>108</v>
      </c>
      <c r="B100" t="s">
        <v>211</v>
      </c>
      <c r="C100" t="s">
        <v>16</v>
      </c>
    </row>
    <row r="101" spans="1:3" x14ac:dyDescent="0.25">
      <c r="A101" t="s">
        <v>108</v>
      </c>
      <c r="B101" t="s">
        <v>212</v>
      </c>
      <c r="C101" t="s">
        <v>16</v>
      </c>
    </row>
    <row r="102" spans="1:3" x14ac:dyDescent="0.25">
      <c r="A102" t="s">
        <v>108</v>
      </c>
      <c r="B102" t="s">
        <v>213</v>
      </c>
      <c r="C102" t="s">
        <v>16</v>
      </c>
    </row>
    <row r="103" spans="1:3" x14ac:dyDescent="0.25">
      <c r="A103" t="s">
        <v>108</v>
      </c>
      <c r="B103" t="s">
        <v>214</v>
      </c>
      <c r="C103" t="s">
        <v>16</v>
      </c>
    </row>
    <row r="104" spans="1:3" x14ac:dyDescent="0.25">
      <c r="A104" t="s">
        <v>108</v>
      </c>
      <c r="B104" t="s">
        <v>215</v>
      </c>
      <c r="C104" t="s">
        <v>16</v>
      </c>
    </row>
    <row r="105" spans="1:3" x14ac:dyDescent="0.25">
      <c r="A105" t="s">
        <v>108</v>
      </c>
      <c r="B105" t="s">
        <v>216</v>
      </c>
      <c r="C105" t="s">
        <v>16</v>
      </c>
    </row>
    <row r="106" spans="1:3" x14ac:dyDescent="0.25">
      <c r="A106" t="s">
        <v>108</v>
      </c>
      <c r="B106" t="s">
        <v>217</v>
      </c>
      <c r="C106" t="s">
        <v>15</v>
      </c>
    </row>
    <row r="107" spans="1:3" x14ac:dyDescent="0.25">
      <c r="A107" t="s">
        <v>108</v>
      </c>
      <c r="B107" t="s">
        <v>218</v>
      </c>
      <c r="C107" t="s">
        <v>15</v>
      </c>
    </row>
    <row r="108" spans="1:3" x14ac:dyDescent="0.25">
      <c r="A108" t="s">
        <v>108</v>
      </c>
      <c r="B108" t="s">
        <v>219</v>
      </c>
      <c r="C108" t="s">
        <v>17</v>
      </c>
    </row>
    <row r="109" spans="1:3" x14ac:dyDescent="0.25">
      <c r="A109" t="s">
        <v>108</v>
      </c>
      <c r="B109" t="s">
        <v>220</v>
      </c>
      <c r="C109" t="s">
        <v>19</v>
      </c>
    </row>
    <row r="110" spans="1:3" x14ac:dyDescent="0.25">
      <c r="A110" t="s">
        <v>108</v>
      </c>
      <c r="B110" t="s">
        <v>221</v>
      </c>
      <c r="C110" t="s">
        <v>15</v>
      </c>
    </row>
    <row r="111" spans="1:3" x14ac:dyDescent="0.25">
      <c r="A111" t="s">
        <v>108</v>
      </c>
      <c r="B111" t="s">
        <v>222</v>
      </c>
      <c r="C111" t="s">
        <v>15</v>
      </c>
    </row>
    <row r="112" spans="1:3" x14ac:dyDescent="0.25">
      <c r="A112" t="s">
        <v>369</v>
      </c>
      <c r="B112" t="s">
        <v>247</v>
      </c>
      <c r="C112" t="s">
        <v>11</v>
      </c>
    </row>
    <row r="113" spans="1:3" x14ac:dyDescent="0.25">
      <c r="A113" t="s">
        <v>369</v>
      </c>
      <c r="B113" t="s">
        <v>232</v>
      </c>
      <c r="C113" t="s">
        <v>18</v>
      </c>
    </row>
    <row r="114" spans="1:3" x14ac:dyDescent="0.25">
      <c r="A114" t="s">
        <v>369</v>
      </c>
      <c r="B114" t="s">
        <v>162</v>
      </c>
      <c r="C114" t="s">
        <v>15</v>
      </c>
    </row>
    <row r="115" spans="1:3" x14ac:dyDescent="0.25">
      <c r="A115" t="s">
        <v>369</v>
      </c>
      <c r="B115" t="s">
        <v>118</v>
      </c>
      <c r="C115" t="s">
        <v>16</v>
      </c>
    </row>
    <row r="116" spans="1:3" x14ac:dyDescent="0.25">
      <c r="A116" t="s">
        <v>369</v>
      </c>
      <c r="B116" t="s">
        <v>125</v>
      </c>
      <c r="C116" t="s">
        <v>16</v>
      </c>
    </row>
    <row r="117" spans="1:3" x14ac:dyDescent="0.25">
      <c r="A117" t="s">
        <v>369</v>
      </c>
      <c r="B117" t="s">
        <v>249</v>
      </c>
      <c r="C117" t="s">
        <v>15</v>
      </c>
    </row>
    <row r="118" spans="1:3" x14ac:dyDescent="0.25">
      <c r="A118" t="s">
        <v>369</v>
      </c>
      <c r="B118" t="s">
        <v>250</v>
      </c>
      <c r="C118" t="s">
        <v>15</v>
      </c>
    </row>
    <row r="119" spans="1:3" x14ac:dyDescent="0.25">
      <c r="A119" t="s">
        <v>369</v>
      </c>
      <c r="B119" t="s">
        <v>251</v>
      </c>
      <c r="C119" t="s">
        <v>16</v>
      </c>
    </row>
    <row r="120" spans="1:3" x14ac:dyDescent="0.25">
      <c r="A120" t="s">
        <v>370</v>
      </c>
      <c r="B120" t="s">
        <v>371</v>
      </c>
      <c r="C120" t="s">
        <v>15</v>
      </c>
    </row>
    <row r="121" spans="1:3" x14ac:dyDescent="0.25">
      <c r="A121" t="s">
        <v>370</v>
      </c>
      <c r="B121" t="s">
        <v>372</v>
      </c>
      <c r="C121" t="s">
        <v>16</v>
      </c>
    </row>
    <row r="122" spans="1:3" x14ac:dyDescent="0.25">
      <c r="A122" t="s">
        <v>107</v>
      </c>
      <c r="B122" t="s">
        <v>373</v>
      </c>
      <c r="C122" t="s">
        <v>16</v>
      </c>
    </row>
    <row r="123" spans="1:3" x14ac:dyDescent="0.25">
      <c r="A123" t="s">
        <v>107</v>
      </c>
      <c r="B123" t="s">
        <v>374</v>
      </c>
      <c r="C123" t="s">
        <v>18</v>
      </c>
    </row>
    <row r="124" spans="1:3" x14ac:dyDescent="0.25">
      <c r="A124" t="s">
        <v>107</v>
      </c>
      <c r="B124" t="s">
        <v>375</v>
      </c>
      <c r="C124" t="s">
        <v>15</v>
      </c>
    </row>
    <row r="125" spans="1:3" x14ac:dyDescent="0.25">
      <c r="A125" t="s">
        <v>107</v>
      </c>
      <c r="B125" t="s">
        <v>376</v>
      </c>
      <c r="C125" t="s">
        <v>16</v>
      </c>
    </row>
    <row r="126" spans="1:3" x14ac:dyDescent="0.25">
      <c r="A126" t="s">
        <v>377</v>
      </c>
      <c r="B126" t="s">
        <v>149</v>
      </c>
      <c r="C126" t="s">
        <v>16</v>
      </c>
    </row>
    <row r="127" spans="1:3" x14ac:dyDescent="0.25">
      <c r="A127" t="s">
        <v>378</v>
      </c>
      <c r="B127" t="s">
        <v>316</v>
      </c>
      <c r="C127" t="s">
        <v>16</v>
      </c>
    </row>
    <row r="128" spans="1:3" x14ac:dyDescent="0.25">
      <c r="A128" t="s">
        <v>378</v>
      </c>
      <c r="B128" t="s">
        <v>318</v>
      </c>
      <c r="C128" t="s">
        <v>16</v>
      </c>
    </row>
    <row r="129" spans="1:3" x14ac:dyDescent="0.25">
      <c r="A129" t="s">
        <v>378</v>
      </c>
      <c r="B129" t="s">
        <v>320</v>
      </c>
      <c r="C129" t="s">
        <v>18</v>
      </c>
    </row>
    <row r="130" spans="1:3" x14ac:dyDescent="0.25">
      <c r="A130" t="s">
        <v>378</v>
      </c>
      <c r="B130" t="s">
        <v>321</v>
      </c>
      <c r="C130" t="s">
        <v>16</v>
      </c>
    </row>
    <row r="131" spans="1:3" x14ac:dyDescent="0.25">
      <c r="A131" t="s">
        <v>378</v>
      </c>
      <c r="B131" t="s">
        <v>322</v>
      </c>
      <c r="C131" t="s">
        <v>16</v>
      </c>
    </row>
    <row r="132" spans="1:3" x14ac:dyDescent="0.25">
      <c r="A132" t="s">
        <v>378</v>
      </c>
      <c r="B132" t="s">
        <v>323</v>
      </c>
      <c r="C132" t="s">
        <v>16</v>
      </c>
    </row>
    <row r="133" spans="1:3" x14ac:dyDescent="0.25">
      <c r="A133" t="s">
        <v>378</v>
      </c>
      <c r="B133" t="s">
        <v>324</v>
      </c>
      <c r="C133" t="s">
        <v>16</v>
      </c>
    </row>
    <row r="134" spans="1:3" x14ac:dyDescent="0.25">
      <c r="A134" t="s">
        <v>378</v>
      </c>
      <c r="B134" t="s">
        <v>325</v>
      </c>
      <c r="C134" t="s">
        <v>16</v>
      </c>
    </row>
    <row r="135" spans="1:3" x14ac:dyDescent="0.25">
      <c r="A135" t="s">
        <v>378</v>
      </c>
      <c r="B135" t="s">
        <v>326</v>
      </c>
      <c r="C135" t="s">
        <v>16</v>
      </c>
    </row>
    <row r="136" spans="1:3" x14ac:dyDescent="0.25">
      <c r="A136" t="s">
        <v>378</v>
      </c>
      <c r="B136" t="s">
        <v>327</v>
      </c>
      <c r="C136" t="s">
        <v>16</v>
      </c>
    </row>
    <row r="137" spans="1:3" x14ac:dyDescent="0.25">
      <c r="A137" t="s">
        <v>378</v>
      </c>
      <c r="B137" t="s">
        <v>328</v>
      </c>
      <c r="C137" t="s">
        <v>16</v>
      </c>
    </row>
    <row r="138" spans="1:3" x14ac:dyDescent="0.25">
      <c r="A138" t="s">
        <v>378</v>
      </c>
      <c r="B138" t="s">
        <v>329</v>
      </c>
      <c r="C138" t="s">
        <v>16</v>
      </c>
    </row>
    <row r="139" spans="1:3" x14ac:dyDescent="0.25">
      <c r="A139" t="s">
        <v>378</v>
      </c>
      <c r="B139" t="s">
        <v>330</v>
      </c>
      <c r="C139" t="s">
        <v>16</v>
      </c>
    </row>
    <row r="140" spans="1:3" x14ac:dyDescent="0.25">
      <c r="A140" t="s">
        <v>378</v>
      </c>
      <c r="B140" t="s">
        <v>331</v>
      </c>
      <c r="C140" t="s">
        <v>16</v>
      </c>
    </row>
    <row r="141" spans="1:3" x14ac:dyDescent="0.25">
      <c r="A141" t="s">
        <v>378</v>
      </c>
      <c r="B141" t="s">
        <v>332</v>
      </c>
      <c r="C141" t="s">
        <v>16</v>
      </c>
    </row>
    <row r="142" spans="1:3" x14ac:dyDescent="0.25">
      <c r="A142" t="s">
        <v>378</v>
      </c>
      <c r="B142" t="s">
        <v>333</v>
      </c>
      <c r="C142" t="s">
        <v>16</v>
      </c>
    </row>
    <row r="143" spans="1:3" x14ac:dyDescent="0.25">
      <c r="A143" t="s">
        <v>378</v>
      </c>
      <c r="B143" t="s">
        <v>334</v>
      </c>
      <c r="C143" t="s">
        <v>16</v>
      </c>
    </row>
    <row r="144" spans="1:3" x14ac:dyDescent="0.25">
      <c r="A144" t="s">
        <v>378</v>
      </c>
      <c r="B144" t="s">
        <v>335</v>
      </c>
      <c r="C144" t="s">
        <v>16</v>
      </c>
    </row>
    <row r="145" spans="1:3" x14ac:dyDescent="0.25">
      <c r="A145" t="s">
        <v>378</v>
      </c>
      <c r="B145" t="s">
        <v>336</v>
      </c>
      <c r="C145" t="s">
        <v>16</v>
      </c>
    </row>
    <row r="146" spans="1:3" x14ac:dyDescent="0.25">
      <c r="A146" t="s">
        <v>378</v>
      </c>
      <c r="B146" t="s">
        <v>337</v>
      </c>
      <c r="C146" t="s">
        <v>16</v>
      </c>
    </row>
    <row r="147" spans="1:3" x14ac:dyDescent="0.25">
      <c r="A147" t="s">
        <v>378</v>
      </c>
      <c r="B147" t="s">
        <v>338</v>
      </c>
      <c r="C147" t="s">
        <v>16</v>
      </c>
    </row>
    <row r="148" spans="1:3" x14ac:dyDescent="0.25">
      <c r="A148" t="s">
        <v>378</v>
      </c>
      <c r="B148" t="s">
        <v>339</v>
      </c>
      <c r="C148" t="s">
        <v>16</v>
      </c>
    </row>
    <row r="149" spans="1:3" x14ac:dyDescent="0.25">
      <c r="A149" t="s">
        <v>378</v>
      </c>
      <c r="B149" t="s">
        <v>340</v>
      </c>
      <c r="C149" t="s">
        <v>16</v>
      </c>
    </row>
    <row r="150" spans="1:3" x14ac:dyDescent="0.25">
      <c r="A150" t="s">
        <v>378</v>
      </c>
      <c r="B150" t="s">
        <v>341</v>
      </c>
      <c r="C150" t="s">
        <v>16</v>
      </c>
    </row>
    <row r="151" spans="1:3" x14ac:dyDescent="0.25">
      <c r="A151" t="s">
        <v>378</v>
      </c>
      <c r="B151" t="s">
        <v>342</v>
      </c>
      <c r="C151" t="s">
        <v>16</v>
      </c>
    </row>
    <row r="152" spans="1:3" x14ac:dyDescent="0.25">
      <c r="A152" t="s">
        <v>378</v>
      </c>
      <c r="B152" t="s">
        <v>343</v>
      </c>
      <c r="C152" t="s">
        <v>16</v>
      </c>
    </row>
    <row r="153" spans="1:3" x14ac:dyDescent="0.25">
      <c r="A153" t="s">
        <v>378</v>
      </c>
      <c r="B153" t="s">
        <v>344</v>
      </c>
      <c r="C153" t="s">
        <v>16</v>
      </c>
    </row>
    <row r="154" spans="1:3" x14ac:dyDescent="0.25">
      <c r="A154" t="s">
        <v>378</v>
      </c>
      <c r="B154" t="s">
        <v>345</v>
      </c>
      <c r="C154" t="s">
        <v>16</v>
      </c>
    </row>
    <row r="155" spans="1:3" x14ac:dyDescent="0.25">
      <c r="A155" t="s">
        <v>378</v>
      </c>
      <c r="B155" t="s">
        <v>346</v>
      </c>
      <c r="C155" t="s">
        <v>16</v>
      </c>
    </row>
    <row r="156" spans="1:3" x14ac:dyDescent="0.25">
      <c r="A156" t="s">
        <v>378</v>
      </c>
      <c r="B156" t="s">
        <v>347</v>
      </c>
      <c r="C156" t="s">
        <v>16</v>
      </c>
    </row>
    <row r="157" spans="1:3" x14ac:dyDescent="0.25">
      <c r="A157" t="s">
        <v>378</v>
      </c>
      <c r="B157" t="s">
        <v>348</v>
      </c>
      <c r="C157" t="s">
        <v>16</v>
      </c>
    </row>
    <row r="158" spans="1:3" x14ac:dyDescent="0.25">
      <c r="A158" t="s">
        <v>378</v>
      </c>
      <c r="B158" t="s">
        <v>349</v>
      </c>
      <c r="C158" t="s">
        <v>16</v>
      </c>
    </row>
    <row r="159" spans="1:3" x14ac:dyDescent="0.25">
      <c r="A159" t="s">
        <v>378</v>
      </c>
      <c r="B159" t="s">
        <v>350</v>
      </c>
      <c r="C159" t="s">
        <v>16</v>
      </c>
    </row>
    <row r="160" spans="1:3" x14ac:dyDescent="0.25">
      <c r="A160" t="s">
        <v>378</v>
      </c>
      <c r="B160" t="s">
        <v>351</v>
      </c>
      <c r="C160" t="s">
        <v>16</v>
      </c>
    </row>
    <row r="161" spans="1:3" x14ac:dyDescent="0.25">
      <c r="A161" t="s">
        <v>378</v>
      </c>
      <c r="B161" t="s">
        <v>352</v>
      </c>
      <c r="C161" t="s">
        <v>16</v>
      </c>
    </row>
    <row r="162" spans="1:3" x14ac:dyDescent="0.25">
      <c r="A162" t="s">
        <v>378</v>
      </c>
      <c r="B162" t="s">
        <v>353</v>
      </c>
      <c r="C162" t="s">
        <v>16</v>
      </c>
    </row>
    <row r="163" spans="1:3" x14ac:dyDescent="0.25">
      <c r="A163" t="s">
        <v>378</v>
      </c>
      <c r="B163" t="s">
        <v>354</v>
      </c>
      <c r="C163" t="s">
        <v>16</v>
      </c>
    </row>
    <row r="164" spans="1:3" x14ac:dyDescent="0.25">
      <c r="A164" t="s">
        <v>378</v>
      </c>
      <c r="B164" t="s">
        <v>355</v>
      </c>
      <c r="C164" t="s">
        <v>16</v>
      </c>
    </row>
    <row r="165" spans="1:3" x14ac:dyDescent="0.25">
      <c r="A165" t="s">
        <v>378</v>
      </c>
      <c r="B165" t="s">
        <v>356</v>
      </c>
      <c r="C165" t="s">
        <v>16</v>
      </c>
    </row>
    <row r="166" spans="1:3" x14ac:dyDescent="0.25">
      <c r="A166" t="s">
        <v>378</v>
      </c>
      <c r="B166" t="s">
        <v>357</v>
      </c>
      <c r="C166" t="s">
        <v>16</v>
      </c>
    </row>
    <row r="167" spans="1:3" x14ac:dyDescent="0.25">
      <c r="A167" t="s">
        <v>378</v>
      </c>
      <c r="B167" t="s">
        <v>358</v>
      </c>
      <c r="C167" t="s">
        <v>16</v>
      </c>
    </row>
    <row r="168" spans="1:3" x14ac:dyDescent="0.25">
      <c r="A168" t="s">
        <v>378</v>
      </c>
      <c r="B168" t="s">
        <v>359</v>
      </c>
      <c r="C168" t="s">
        <v>16</v>
      </c>
    </row>
  </sheetData>
  <autoFilter ref="A1:C168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66"/>
  <sheetViews>
    <sheetView topLeftCell="A119" workbookViewId="0">
      <selection activeCell="A141" sqref="A141"/>
    </sheetView>
  </sheetViews>
  <sheetFormatPr defaultRowHeight="15" x14ac:dyDescent="0.25"/>
  <sheetData>
    <row r="1" spans="1:3" x14ac:dyDescent="0.25">
      <c r="A1" t="s">
        <v>112</v>
      </c>
      <c r="C1" t="s">
        <v>21</v>
      </c>
    </row>
    <row r="2" spans="1:3" x14ac:dyDescent="0.25">
      <c r="A2" t="s">
        <v>113</v>
      </c>
      <c r="C2" t="s">
        <v>16</v>
      </c>
    </row>
    <row r="3" spans="1:3" x14ac:dyDescent="0.25">
      <c r="A3" t="s">
        <v>114</v>
      </c>
      <c r="C3" t="s">
        <v>16</v>
      </c>
    </row>
    <row r="4" spans="1:3" x14ac:dyDescent="0.25">
      <c r="A4" t="s">
        <v>115</v>
      </c>
      <c r="C4" t="s">
        <v>16</v>
      </c>
    </row>
    <row r="5" spans="1:3" x14ac:dyDescent="0.25">
      <c r="A5" t="s">
        <v>116</v>
      </c>
      <c r="C5" t="s">
        <v>16</v>
      </c>
    </row>
    <row r="6" spans="1:3" x14ac:dyDescent="0.25">
      <c r="A6" t="s">
        <v>117</v>
      </c>
      <c r="C6" t="s">
        <v>16</v>
      </c>
    </row>
    <row r="7" spans="1:3" x14ac:dyDescent="0.25">
      <c r="A7" t="s">
        <v>118</v>
      </c>
      <c r="C7" t="s">
        <v>16</v>
      </c>
    </row>
    <row r="8" spans="1:3" x14ac:dyDescent="0.25">
      <c r="A8" t="s">
        <v>119</v>
      </c>
      <c r="C8" t="s">
        <v>16</v>
      </c>
    </row>
    <row r="9" spans="1:3" x14ac:dyDescent="0.25">
      <c r="A9" t="s">
        <v>120</v>
      </c>
      <c r="C9" t="s">
        <v>16</v>
      </c>
    </row>
    <row r="10" spans="1:3" x14ac:dyDescent="0.25">
      <c r="A10" t="s">
        <v>121</v>
      </c>
      <c r="C10" t="s">
        <v>16</v>
      </c>
    </row>
    <row r="11" spans="1:3" x14ac:dyDescent="0.25">
      <c r="A11" t="s">
        <v>122</v>
      </c>
      <c r="C11" t="s">
        <v>16</v>
      </c>
    </row>
    <row r="12" spans="1:3" x14ac:dyDescent="0.25">
      <c r="A12" t="s">
        <v>123</v>
      </c>
      <c r="C12" t="s">
        <v>16</v>
      </c>
    </row>
    <row r="13" spans="1:3" x14ac:dyDescent="0.25">
      <c r="A13" t="s">
        <v>124</v>
      </c>
      <c r="C13" t="s">
        <v>16</v>
      </c>
    </row>
    <row r="14" spans="1:3" x14ac:dyDescent="0.25">
      <c r="A14" t="s">
        <v>125</v>
      </c>
      <c r="C14" t="s">
        <v>16</v>
      </c>
    </row>
    <row r="15" spans="1:3" x14ac:dyDescent="0.25">
      <c r="A15" t="s">
        <v>126</v>
      </c>
      <c r="C15" t="s">
        <v>16</v>
      </c>
    </row>
    <row r="16" spans="1:3" x14ac:dyDescent="0.25">
      <c r="A16" t="s">
        <v>127</v>
      </c>
      <c r="C16" t="s">
        <v>11</v>
      </c>
    </row>
    <row r="17" spans="1:3" x14ac:dyDescent="0.25">
      <c r="A17" t="s">
        <v>128</v>
      </c>
      <c r="C17" t="s">
        <v>11</v>
      </c>
    </row>
    <row r="18" spans="1:3" x14ac:dyDescent="0.25">
      <c r="A18" t="s">
        <v>129</v>
      </c>
      <c r="C18" t="s">
        <v>11</v>
      </c>
    </row>
    <row r="19" spans="1:3" x14ac:dyDescent="0.25">
      <c r="A19" t="s">
        <v>130</v>
      </c>
      <c r="C19" t="s">
        <v>11</v>
      </c>
    </row>
    <row r="20" spans="1:3" x14ac:dyDescent="0.25">
      <c r="A20" t="s">
        <v>131</v>
      </c>
      <c r="C20" t="s">
        <v>11</v>
      </c>
    </row>
    <row r="21" spans="1:3" x14ac:dyDescent="0.25">
      <c r="A21" t="s">
        <v>132</v>
      </c>
      <c r="C21" t="s">
        <v>11</v>
      </c>
    </row>
    <row r="22" spans="1:3" x14ac:dyDescent="0.25">
      <c r="A22" t="s">
        <v>133</v>
      </c>
      <c r="C22" t="s">
        <v>11</v>
      </c>
    </row>
    <row r="23" spans="1:3" x14ac:dyDescent="0.25">
      <c r="A23" t="s">
        <v>134</v>
      </c>
      <c r="C23" t="s">
        <v>11</v>
      </c>
    </row>
    <row r="24" spans="1:3" x14ac:dyDescent="0.25">
      <c r="A24" t="s">
        <v>135</v>
      </c>
      <c r="C24" t="s">
        <v>11</v>
      </c>
    </row>
    <row r="25" spans="1:3" x14ac:dyDescent="0.25">
      <c r="A25" t="s">
        <v>136</v>
      </c>
      <c r="C25" t="s">
        <v>11</v>
      </c>
    </row>
    <row r="26" spans="1:3" x14ac:dyDescent="0.25">
      <c r="A26" t="s">
        <v>137</v>
      </c>
      <c r="C26" t="s">
        <v>11</v>
      </c>
    </row>
    <row r="27" spans="1:3" x14ac:dyDescent="0.25">
      <c r="A27" t="s">
        <v>138</v>
      </c>
      <c r="C27" t="s">
        <v>11</v>
      </c>
    </row>
    <row r="28" spans="1:3" x14ac:dyDescent="0.25">
      <c r="A28" t="s">
        <v>139</v>
      </c>
      <c r="C28" t="s">
        <v>11</v>
      </c>
    </row>
    <row r="29" spans="1:3" x14ac:dyDescent="0.25">
      <c r="A29" t="s">
        <v>140</v>
      </c>
      <c r="C29" t="s">
        <v>11</v>
      </c>
    </row>
    <row r="30" spans="1:3" x14ac:dyDescent="0.25">
      <c r="A30" t="s">
        <v>141</v>
      </c>
      <c r="C30" t="s">
        <v>16</v>
      </c>
    </row>
    <row r="31" spans="1:3" x14ac:dyDescent="0.25">
      <c r="A31" t="s">
        <v>142</v>
      </c>
      <c r="C31" t="s">
        <v>16</v>
      </c>
    </row>
    <row r="32" spans="1:3" x14ac:dyDescent="0.25">
      <c r="A32" t="s">
        <v>143</v>
      </c>
      <c r="C32" t="s">
        <v>16</v>
      </c>
    </row>
    <row r="33" spans="1:3" x14ac:dyDescent="0.25">
      <c r="A33" t="s">
        <v>144</v>
      </c>
      <c r="C33" t="s">
        <v>16</v>
      </c>
    </row>
    <row r="34" spans="1:3" x14ac:dyDescent="0.25">
      <c r="A34" t="s">
        <v>145</v>
      </c>
      <c r="C34" t="s">
        <v>16</v>
      </c>
    </row>
    <row r="35" spans="1:3" x14ac:dyDescent="0.25">
      <c r="A35" t="s">
        <v>146</v>
      </c>
      <c r="C35" t="s">
        <v>16</v>
      </c>
    </row>
    <row r="36" spans="1:3" x14ac:dyDescent="0.25">
      <c r="A36" t="s">
        <v>147</v>
      </c>
      <c r="C36" t="s">
        <v>16</v>
      </c>
    </row>
    <row r="37" spans="1:3" x14ac:dyDescent="0.25">
      <c r="A37" t="s">
        <v>148</v>
      </c>
      <c r="C37" t="s">
        <v>16</v>
      </c>
    </row>
    <row r="38" spans="1:3" x14ac:dyDescent="0.25">
      <c r="A38" t="s">
        <v>149</v>
      </c>
      <c r="C38" t="s">
        <v>16</v>
      </c>
    </row>
    <row r="39" spans="1:3" x14ac:dyDescent="0.25">
      <c r="A39" t="s">
        <v>150</v>
      </c>
      <c r="C39" t="s">
        <v>16</v>
      </c>
    </row>
    <row r="40" spans="1:3" x14ac:dyDescent="0.25">
      <c r="A40" t="s">
        <v>151</v>
      </c>
      <c r="C40" t="s">
        <v>16</v>
      </c>
    </row>
    <row r="41" spans="1:3" x14ac:dyDescent="0.25">
      <c r="A41" t="s">
        <v>152</v>
      </c>
      <c r="C41" t="s">
        <v>16</v>
      </c>
    </row>
    <row r="42" spans="1:3" x14ac:dyDescent="0.25">
      <c r="A42" t="s">
        <v>153</v>
      </c>
      <c r="C42" t="s">
        <v>16</v>
      </c>
    </row>
    <row r="43" spans="1:3" x14ac:dyDescent="0.25">
      <c r="A43" t="s">
        <v>154</v>
      </c>
      <c r="C43" t="s">
        <v>16</v>
      </c>
    </row>
    <row r="44" spans="1:3" x14ac:dyDescent="0.25">
      <c r="A44" t="s">
        <v>155</v>
      </c>
      <c r="C44" t="s">
        <v>16</v>
      </c>
    </row>
    <row r="45" spans="1:3" x14ac:dyDescent="0.25">
      <c r="A45" t="s">
        <v>156</v>
      </c>
      <c r="C45" t="s">
        <v>16</v>
      </c>
    </row>
    <row r="46" spans="1:3" x14ac:dyDescent="0.25">
      <c r="A46" t="s">
        <v>157</v>
      </c>
      <c r="C46" t="s">
        <v>16</v>
      </c>
    </row>
    <row r="47" spans="1:3" x14ac:dyDescent="0.25">
      <c r="A47" t="s">
        <v>158</v>
      </c>
      <c r="C47" t="s">
        <v>18</v>
      </c>
    </row>
    <row r="48" spans="1:3" x14ac:dyDescent="0.25">
      <c r="A48" t="s">
        <v>159</v>
      </c>
      <c r="C48" t="s">
        <v>18</v>
      </c>
    </row>
    <row r="49" spans="1:3" x14ac:dyDescent="0.25">
      <c r="A49" t="s">
        <v>160</v>
      </c>
      <c r="C49" t="s">
        <v>18</v>
      </c>
    </row>
    <row r="50" spans="1:3" x14ac:dyDescent="0.25">
      <c r="A50" t="s">
        <v>161</v>
      </c>
      <c r="C50" t="s">
        <v>18</v>
      </c>
    </row>
    <row r="51" spans="1:3" x14ac:dyDescent="0.25">
      <c r="A51" t="s">
        <v>162</v>
      </c>
      <c r="C51" t="s">
        <v>15</v>
      </c>
    </row>
    <row r="52" spans="1:3" x14ac:dyDescent="0.25">
      <c r="A52" t="s">
        <v>163</v>
      </c>
      <c r="C52" t="s">
        <v>15</v>
      </c>
    </row>
    <row r="53" spans="1:3" x14ac:dyDescent="0.25">
      <c r="A53" t="s">
        <v>164</v>
      </c>
      <c r="C53" t="s">
        <v>15</v>
      </c>
    </row>
    <row r="54" spans="1:3" x14ac:dyDescent="0.25">
      <c r="A54" t="s">
        <v>165</v>
      </c>
      <c r="C54" t="s">
        <v>15</v>
      </c>
    </row>
    <row r="55" spans="1:3" x14ac:dyDescent="0.25">
      <c r="A55" t="s">
        <v>166</v>
      </c>
      <c r="C55" t="s">
        <v>15</v>
      </c>
    </row>
    <row r="56" spans="1:3" x14ac:dyDescent="0.25">
      <c r="A56" t="s">
        <v>167</v>
      </c>
      <c r="C56" t="s">
        <v>15</v>
      </c>
    </row>
    <row r="57" spans="1:3" x14ac:dyDescent="0.25">
      <c r="A57" t="s">
        <v>168</v>
      </c>
      <c r="C57" t="s">
        <v>15</v>
      </c>
    </row>
    <row r="58" spans="1:3" x14ac:dyDescent="0.25">
      <c r="A58" t="s">
        <v>169</v>
      </c>
      <c r="C58" t="s">
        <v>15</v>
      </c>
    </row>
    <row r="59" spans="1:3" x14ac:dyDescent="0.25">
      <c r="A59" t="s">
        <v>170</v>
      </c>
      <c r="C59" t="s">
        <v>15</v>
      </c>
    </row>
    <row r="60" spans="1:3" x14ac:dyDescent="0.25">
      <c r="A60" t="s">
        <v>171</v>
      </c>
      <c r="C60" t="s">
        <v>15</v>
      </c>
    </row>
    <row r="61" spans="1:3" x14ac:dyDescent="0.25">
      <c r="A61" t="s">
        <v>172</v>
      </c>
      <c r="C61" t="s">
        <v>19</v>
      </c>
    </row>
    <row r="62" spans="1:3" x14ac:dyDescent="0.25">
      <c r="A62" t="s">
        <v>173</v>
      </c>
      <c r="C62" t="s">
        <v>16</v>
      </c>
    </row>
    <row r="63" spans="1:3" x14ac:dyDescent="0.25">
      <c r="A63" t="s">
        <v>174</v>
      </c>
      <c r="C63" t="s">
        <v>14</v>
      </c>
    </row>
    <row r="64" spans="1:3" x14ac:dyDescent="0.25">
      <c r="A64" t="s">
        <v>175</v>
      </c>
      <c r="C64" t="s">
        <v>19</v>
      </c>
    </row>
    <row r="65" spans="1:3" x14ac:dyDescent="0.25">
      <c r="A65" t="s">
        <v>176</v>
      </c>
      <c r="C65" t="s">
        <v>19</v>
      </c>
    </row>
    <row r="66" spans="1:3" x14ac:dyDescent="0.25">
      <c r="A66" t="s">
        <v>177</v>
      </c>
      <c r="C66" t="s">
        <v>19</v>
      </c>
    </row>
    <row r="67" spans="1:3" x14ac:dyDescent="0.25">
      <c r="A67" t="s">
        <v>178</v>
      </c>
      <c r="C67" t="s">
        <v>15</v>
      </c>
    </row>
    <row r="68" spans="1:3" x14ac:dyDescent="0.25">
      <c r="A68" t="s">
        <v>179</v>
      </c>
      <c r="C68" t="s">
        <v>15</v>
      </c>
    </row>
    <row r="69" spans="1:3" x14ac:dyDescent="0.25">
      <c r="A69" t="s">
        <v>180</v>
      </c>
      <c r="C69" t="s">
        <v>15</v>
      </c>
    </row>
    <row r="70" spans="1:3" x14ac:dyDescent="0.25">
      <c r="A70" t="s">
        <v>181</v>
      </c>
      <c r="C70" t="s">
        <v>15</v>
      </c>
    </row>
    <row r="71" spans="1:3" x14ac:dyDescent="0.25">
      <c r="A71" t="s">
        <v>182</v>
      </c>
      <c r="C71" t="s">
        <v>16</v>
      </c>
    </row>
    <row r="72" spans="1:3" x14ac:dyDescent="0.25">
      <c r="A72" t="s">
        <v>183</v>
      </c>
      <c r="C72" t="s">
        <v>16</v>
      </c>
    </row>
    <row r="73" spans="1:3" x14ac:dyDescent="0.25">
      <c r="A73" t="s">
        <v>184</v>
      </c>
      <c r="C73" t="s">
        <v>16</v>
      </c>
    </row>
    <row r="74" spans="1:3" x14ac:dyDescent="0.25">
      <c r="A74" t="s">
        <v>185</v>
      </c>
      <c r="C74" t="s">
        <v>16</v>
      </c>
    </row>
    <row r="75" spans="1:3" x14ac:dyDescent="0.25">
      <c r="A75" t="s">
        <v>186</v>
      </c>
      <c r="C75" t="s">
        <v>16</v>
      </c>
    </row>
    <row r="76" spans="1:3" x14ac:dyDescent="0.25">
      <c r="A76" t="s">
        <v>187</v>
      </c>
      <c r="C76" t="s">
        <v>16</v>
      </c>
    </row>
    <row r="77" spans="1:3" x14ac:dyDescent="0.25">
      <c r="A77" t="s">
        <v>188</v>
      </c>
      <c r="C77" t="s">
        <v>16</v>
      </c>
    </row>
    <row r="78" spans="1:3" x14ac:dyDescent="0.25">
      <c r="A78" t="s">
        <v>189</v>
      </c>
      <c r="C78" t="s">
        <v>16</v>
      </c>
    </row>
    <row r="79" spans="1:3" x14ac:dyDescent="0.25">
      <c r="A79" t="s">
        <v>190</v>
      </c>
      <c r="C79" t="s">
        <v>16</v>
      </c>
    </row>
    <row r="80" spans="1:3" x14ac:dyDescent="0.25">
      <c r="A80" t="s">
        <v>191</v>
      </c>
      <c r="C80" t="s">
        <v>16</v>
      </c>
    </row>
    <row r="81" spans="1:3" x14ac:dyDescent="0.25">
      <c r="A81" t="s">
        <v>192</v>
      </c>
      <c r="C81" t="s">
        <v>16</v>
      </c>
    </row>
    <row r="82" spans="1:3" x14ac:dyDescent="0.25">
      <c r="A82" t="s">
        <v>193</v>
      </c>
      <c r="C82" t="s">
        <v>16</v>
      </c>
    </row>
    <row r="83" spans="1:3" x14ac:dyDescent="0.25">
      <c r="A83" t="s">
        <v>194</v>
      </c>
      <c r="C83" t="s">
        <v>16</v>
      </c>
    </row>
    <row r="84" spans="1:3" x14ac:dyDescent="0.25">
      <c r="A84" t="s">
        <v>195</v>
      </c>
      <c r="C84" t="s">
        <v>16</v>
      </c>
    </row>
    <row r="85" spans="1:3" x14ac:dyDescent="0.25">
      <c r="A85" t="s">
        <v>196</v>
      </c>
      <c r="C85" t="s">
        <v>16</v>
      </c>
    </row>
    <row r="86" spans="1:3" x14ac:dyDescent="0.25">
      <c r="A86" t="s">
        <v>197</v>
      </c>
      <c r="C86" t="s">
        <v>16</v>
      </c>
    </row>
    <row r="87" spans="1:3" x14ac:dyDescent="0.25">
      <c r="A87" t="s">
        <v>198</v>
      </c>
      <c r="C87" t="s">
        <v>16</v>
      </c>
    </row>
    <row r="88" spans="1:3" x14ac:dyDescent="0.25">
      <c r="A88" t="s">
        <v>199</v>
      </c>
      <c r="C88" t="s">
        <v>16</v>
      </c>
    </row>
    <row r="89" spans="1:3" x14ac:dyDescent="0.25">
      <c r="A89" t="s">
        <v>200</v>
      </c>
      <c r="C89" t="s">
        <v>16</v>
      </c>
    </row>
    <row r="90" spans="1:3" x14ac:dyDescent="0.25">
      <c r="A90" t="s">
        <v>201</v>
      </c>
      <c r="C90" t="s">
        <v>15</v>
      </c>
    </row>
    <row r="91" spans="1:3" x14ac:dyDescent="0.25">
      <c r="A91" t="s">
        <v>202</v>
      </c>
      <c r="C91" t="s">
        <v>15</v>
      </c>
    </row>
    <row r="92" spans="1:3" x14ac:dyDescent="0.25">
      <c r="A92" t="s">
        <v>203</v>
      </c>
      <c r="C92" t="s">
        <v>19</v>
      </c>
    </row>
    <row r="93" spans="1:3" x14ac:dyDescent="0.25">
      <c r="A93" t="s">
        <v>204</v>
      </c>
      <c r="C93" t="s">
        <v>19</v>
      </c>
    </row>
    <row r="94" spans="1:3" x14ac:dyDescent="0.25">
      <c r="A94" t="s">
        <v>205</v>
      </c>
      <c r="C94" t="s">
        <v>19</v>
      </c>
    </row>
    <row r="95" spans="1:3" x14ac:dyDescent="0.25">
      <c r="A95" t="s">
        <v>206</v>
      </c>
      <c r="C95" t="s">
        <v>19</v>
      </c>
    </row>
    <row r="96" spans="1:3" x14ac:dyDescent="0.25">
      <c r="A96" t="s">
        <v>207</v>
      </c>
      <c r="C96" t="s">
        <v>16</v>
      </c>
    </row>
    <row r="97" spans="1:3" x14ac:dyDescent="0.25">
      <c r="A97" t="s">
        <v>208</v>
      </c>
      <c r="C97" t="s">
        <v>16</v>
      </c>
    </row>
    <row r="98" spans="1:3" x14ac:dyDescent="0.25">
      <c r="A98" t="s">
        <v>209</v>
      </c>
      <c r="C98" t="s">
        <v>14</v>
      </c>
    </row>
    <row r="99" spans="1:3" x14ac:dyDescent="0.25">
      <c r="A99" t="s">
        <v>210</v>
      </c>
      <c r="C99" t="s">
        <v>14</v>
      </c>
    </row>
    <row r="100" spans="1:3" x14ac:dyDescent="0.25">
      <c r="A100" t="s">
        <v>211</v>
      </c>
      <c r="C100" t="s">
        <v>16</v>
      </c>
    </row>
    <row r="101" spans="1:3" x14ac:dyDescent="0.25">
      <c r="A101" t="s">
        <v>212</v>
      </c>
      <c r="C101" t="s">
        <v>16</v>
      </c>
    </row>
    <row r="102" spans="1:3" x14ac:dyDescent="0.25">
      <c r="A102" t="s">
        <v>213</v>
      </c>
      <c r="C102" t="s">
        <v>16</v>
      </c>
    </row>
    <row r="103" spans="1:3" x14ac:dyDescent="0.25">
      <c r="A103" t="s">
        <v>214</v>
      </c>
      <c r="C103" t="s">
        <v>16</v>
      </c>
    </row>
    <row r="104" spans="1:3" x14ac:dyDescent="0.25">
      <c r="A104" t="s">
        <v>215</v>
      </c>
      <c r="C104" t="s">
        <v>16</v>
      </c>
    </row>
    <row r="105" spans="1:3" x14ac:dyDescent="0.25">
      <c r="A105" t="s">
        <v>216</v>
      </c>
      <c r="C105" t="s">
        <v>16</v>
      </c>
    </row>
    <row r="106" spans="1:3" x14ac:dyDescent="0.25">
      <c r="A106" t="s">
        <v>217</v>
      </c>
      <c r="C106" t="s">
        <v>15</v>
      </c>
    </row>
    <row r="107" spans="1:3" x14ac:dyDescent="0.25">
      <c r="A107" t="s">
        <v>218</v>
      </c>
      <c r="C107" t="s">
        <v>15</v>
      </c>
    </row>
    <row r="108" spans="1:3" x14ac:dyDescent="0.25">
      <c r="A108" t="s">
        <v>219</v>
      </c>
      <c r="C108" t="s">
        <v>17</v>
      </c>
    </row>
    <row r="109" spans="1:3" x14ac:dyDescent="0.25">
      <c r="A109" t="s">
        <v>220</v>
      </c>
      <c r="C109" t="s">
        <v>19</v>
      </c>
    </row>
    <row r="110" spans="1:3" x14ac:dyDescent="0.25">
      <c r="A110" t="s">
        <v>221</v>
      </c>
      <c r="C110" t="s">
        <v>15</v>
      </c>
    </row>
    <row r="111" spans="1:3" x14ac:dyDescent="0.25">
      <c r="A111" t="s">
        <v>222</v>
      </c>
      <c r="C111" t="s">
        <v>15</v>
      </c>
    </row>
    <row r="114" spans="1:16" x14ac:dyDescent="0.25">
      <c r="A114" s="45" t="s">
        <v>223</v>
      </c>
      <c r="B114" s="45"/>
      <c r="C114" s="45"/>
      <c r="D114" s="45" t="s">
        <v>224</v>
      </c>
      <c r="E114" s="45"/>
      <c r="F114" s="45"/>
      <c r="G114" s="45"/>
      <c r="H114" s="45"/>
      <c r="I114" s="45"/>
      <c r="J114" s="45"/>
      <c r="K114" s="45"/>
      <c r="L114" s="45"/>
      <c r="M114" s="45"/>
      <c r="N114" s="45"/>
      <c r="O114" s="45"/>
      <c r="P114" s="45"/>
    </row>
    <row r="115" spans="1:16" x14ac:dyDescent="0.25">
      <c r="A115" s="45" t="s">
        <v>131</v>
      </c>
      <c r="B115" s="45"/>
      <c r="C115" s="45"/>
      <c r="D115" s="45" t="s">
        <v>225</v>
      </c>
      <c r="E115" s="45"/>
      <c r="F115" s="45"/>
      <c r="G115" s="45"/>
      <c r="H115" s="45"/>
      <c r="I115" s="45"/>
      <c r="J115" s="45"/>
      <c r="K115" s="45"/>
      <c r="L115" s="45"/>
      <c r="M115" s="45"/>
      <c r="N115" s="45"/>
      <c r="O115" s="45"/>
      <c r="P115" s="45"/>
    </row>
    <row r="116" spans="1:16" x14ac:dyDescent="0.25">
      <c r="A116" s="45" t="s">
        <v>133</v>
      </c>
      <c r="B116" s="45"/>
      <c r="C116" s="45"/>
      <c r="D116" s="45"/>
      <c r="E116" s="45"/>
      <c r="F116" s="45"/>
      <c r="G116" s="45"/>
      <c r="H116" s="45"/>
      <c r="I116" s="45"/>
      <c r="J116" s="45"/>
      <c r="K116" s="45"/>
      <c r="L116" s="45"/>
      <c r="M116" s="45"/>
      <c r="N116" s="45"/>
      <c r="O116" s="45"/>
      <c r="P116" s="45"/>
    </row>
    <row r="117" spans="1:16" x14ac:dyDescent="0.25">
      <c r="A117" s="45" t="s">
        <v>134</v>
      </c>
      <c r="B117" s="45"/>
      <c r="C117" s="45"/>
      <c r="D117" s="45"/>
      <c r="E117" s="45"/>
      <c r="F117" s="45"/>
      <c r="G117" s="45"/>
      <c r="H117" s="45"/>
      <c r="I117" s="45"/>
      <c r="J117" s="45"/>
      <c r="K117" s="45"/>
      <c r="L117" s="45"/>
      <c r="M117" s="45"/>
      <c r="N117" s="45"/>
      <c r="O117" s="45"/>
      <c r="P117" s="45"/>
    </row>
    <row r="118" spans="1:16" x14ac:dyDescent="0.25">
      <c r="A118" s="45" t="s">
        <v>226</v>
      </c>
      <c r="B118" s="45"/>
      <c r="C118" s="45"/>
      <c r="D118" s="45"/>
      <c r="E118" s="45"/>
      <c r="F118" s="45"/>
      <c r="G118" s="45"/>
      <c r="H118" s="45"/>
      <c r="I118" s="45"/>
      <c r="J118" s="45"/>
      <c r="K118" s="45"/>
      <c r="L118" s="45"/>
      <c r="M118" s="45"/>
      <c r="N118" s="45"/>
      <c r="O118" s="45"/>
      <c r="P118" s="45"/>
    </row>
    <row r="119" spans="1:16" x14ac:dyDescent="0.25">
      <c r="A119" s="45" t="s">
        <v>227</v>
      </c>
      <c r="B119" s="45"/>
      <c r="C119" s="45"/>
      <c r="D119" s="45"/>
      <c r="E119" s="45"/>
      <c r="F119" s="45"/>
      <c r="G119" s="45"/>
      <c r="H119" s="45"/>
      <c r="I119" s="45"/>
      <c r="J119" s="45"/>
      <c r="K119" s="45"/>
      <c r="L119" s="45"/>
      <c r="M119" s="45"/>
      <c r="N119" s="45"/>
      <c r="O119" s="45"/>
      <c r="P119" s="45"/>
    </row>
    <row r="120" spans="1:16" x14ac:dyDescent="0.25">
      <c r="A120" s="45" t="s">
        <v>228</v>
      </c>
      <c r="B120" s="45"/>
      <c r="C120" s="45"/>
      <c r="D120" s="45"/>
      <c r="E120" s="45"/>
      <c r="F120" s="45"/>
      <c r="G120" s="45"/>
      <c r="H120" s="45"/>
      <c r="I120" s="45"/>
      <c r="J120" s="45"/>
      <c r="K120" s="45"/>
      <c r="L120" s="45"/>
      <c r="M120" s="45"/>
      <c r="N120" s="45"/>
      <c r="O120" s="45"/>
      <c r="P120" s="45"/>
    </row>
    <row r="121" spans="1:16" x14ac:dyDescent="0.25">
      <c r="A121" s="45" t="s">
        <v>229</v>
      </c>
      <c r="B121" s="45"/>
      <c r="C121" s="45"/>
      <c r="D121" s="45"/>
      <c r="E121" s="45"/>
      <c r="F121" s="45"/>
      <c r="G121" s="45"/>
      <c r="H121" s="45"/>
      <c r="I121" s="45"/>
      <c r="J121" s="45"/>
      <c r="K121" s="45"/>
      <c r="L121" s="45"/>
      <c r="M121" s="45"/>
      <c r="N121" s="45"/>
      <c r="O121" s="45"/>
      <c r="P121" s="45"/>
    </row>
    <row r="122" spans="1:16" x14ac:dyDescent="0.25">
      <c r="A122" s="45" t="s">
        <v>230</v>
      </c>
      <c r="B122" s="45"/>
      <c r="C122" s="45"/>
      <c r="D122" s="45"/>
      <c r="E122" s="45"/>
      <c r="F122" s="45"/>
      <c r="G122" s="45"/>
      <c r="H122" s="45"/>
      <c r="I122" s="45"/>
      <c r="J122" s="45"/>
      <c r="K122" s="45"/>
      <c r="L122" s="45"/>
      <c r="M122" s="45"/>
      <c r="N122" s="45"/>
      <c r="O122" s="45"/>
      <c r="P122" s="45"/>
    </row>
    <row r="123" spans="1:16" x14ac:dyDescent="0.25">
      <c r="A123" s="45" t="s">
        <v>231</v>
      </c>
      <c r="B123" s="45"/>
      <c r="C123" s="45"/>
      <c r="D123" s="45"/>
      <c r="E123" s="45"/>
      <c r="F123" s="45"/>
      <c r="G123" s="45"/>
      <c r="H123" s="45"/>
      <c r="I123" s="45"/>
      <c r="J123" s="45"/>
      <c r="K123" s="45"/>
      <c r="L123" s="45"/>
      <c r="M123" s="45"/>
      <c r="N123" s="45"/>
      <c r="O123" s="45"/>
      <c r="P123" s="45"/>
    </row>
    <row r="124" spans="1:16" x14ac:dyDescent="0.25">
      <c r="A124" s="45" t="s">
        <v>232</v>
      </c>
      <c r="B124" s="45"/>
      <c r="C124" s="45"/>
      <c r="D124" s="45"/>
      <c r="E124" s="45"/>
      <c r="F124" s="45"/>
      <c r="G124" s="45"/>
      <c r="H124" s="45"/>
      <c r="I124" s="45"/>
      <c r="J124" s="45"/>
      <c r="K124" s="45"/>
      <c r="L124" s="45"/>
      <c r="M124" s="45"/>
      <c r="N124" s="45"/>
      <c r="O124" s="45"/>
      <c r="P124" s="45"/>
    </row>
    <row r="125" spans="1:16" x14ac:dyDescent="0.25">
      <c r="A125" s="45" t="s">
        <v>233</v>
      </c>
      <c r="B125" s="45"/>
      <c r="C125" s="45"/>
      <c r="D125" s="45"/>
      <c r="E125" s="45"/>
      <c r="F125" s="45"/>
      <c r="G125" s="45"/>
      <c r="H125" s="45"/>
      <c r="I125" s="45"/>
      <c r="J125" s="45"/>
      <c r="K125" s="45"/>
      <c r="L125" s="45"/>
      <c r="M125" s="45"/>
      <c r="N125" s="45"/>
      <c r="O125" s="45"/>
      <c r="P125" s="45"/>
    </row>
    <row r="126" spans="1:16" x14ac:dyDescent="0.25">
      <c r="A126" s="45" t="s">
        <v>234</v>
      </c>
      <c r="B126" s="45"/>
      <c r="C126" s="45"/>
      <c r="D126" s="45"/>
      <c r="E126" s="45"/>
      <c r="F126" s="45"/>
      <c r="G126" s="45"/>
      <c r="H126" s="45"/>
      <c r="I126" s="45"/>
      <c r="J126" s="45"/>
      <c r="K126" s="45"/>
      <c r="L126" s="45"/>
      <c r="M126" s="45"/>
      <c r="N126" s="45"/>
      <c r="O126" s="45"/>
      <c r="P126" s="45"/>
    </row>
    <row r="127" spans="1:16" x14ac:dyDescent="0.25">
      <c r="A127" s="45" t="s">
        <v>235</v>
      </c>
      <c r="B127" s="45"/>
      <c r="C127" s="45"/>
      <c r="D127" s="45"/>
      <c r="E127" s="45"/>
      <c r="F127" s="45"/>
      <c r="G127" s="45"/>
      <c r="H127" s="45"/>
      <c r="I127" s="45"/>
      <c r="J127" s="45"/>
      <c r="K127" s="45"/>
      <c r="L127" s="45"/>
      <c r="M127" s="45"/>
      <c r="N127" s="45"/>
      <c r="O127" s="45"/>
      <c r="P127" s="45"/>
    </row>
    <row r="128" spans="1:16" x14ac:dyDescent="0.25">
      <c r="A128" s="45" t="s">
        <v>236</v>
      </c>
      <c r="B128" s="45"/>
      <c r="C128" s="45"/>
      <c r="D128" s="45"/>
      <c r="E128" s="45"/>
      <c r="F128" s="45"/>
      <c r="G128" s="45"/>
      <c r="H128" s="45"/>
      <c r="I128" s="45"/>
      <c r="J128" s="45"/>
      <c r="K128" s="45"/>
      <c r="L128" s="45"/>
      <c r="M128" s="45"/>
      <c r="N128" s="45"/>
      <c r="O128" s="45"/>
      <c r="P128" s="45"/>
    </row>
    <row r="129" spans="1:16" x14ac:dyDescent="0.25">
      <c r="A129" s="45" t="s">
        <v>173</v>
      </c>
      <c r="B129" s="45"/>
      <c r="C129" s="45"/>
      <c r="D129" s="45"/>
      <c r="E129" s="45"/>
      <c r="F129" s="45"/>
      <c r="G129" s="45"/>
      <c r="H129" s="45"/>
      <c r="I129" s="45"/>
      <c r="J129" s="45"/>
      <c r="K129" s="45"/>
      <c r="L129" s="45"/>
      <c r="M129" s="45"/>
      <c r="N129" s="45"/>
      <c r="O129" s="45"/>
      <c r="P129" s="45"/>
    </row>
    <row r="130" spans="1:16" x14ac:dyDescent="0.25">
      <c r="A130" s="45" t="s">
        <v>237</v>
      </c>
      <c r="B130" s="45"/>
      <c r="C130" s="45"/>
      <c r="D130" s="45"/>
      <c r="E130" s="45"/>
      <c r="F130" s="45"/>
      <c r="G130" s="45"/>
      <c r="H130" s="45"/>
      <c r="I130" s="45"/>
      <c r="J130" s="45"/>
      <c r="K130" s="45"/>
      <c r="L130" s="45"/>
      <c r="M130" s="45"/>
      <c r="N130" s="45"/>
      <c r="O130" s="45"/>
      <c r="P130" s="45"/>
    </row>
    <row r="131" spans="1:16" x14ac:dyDescent="0.25">
      <c r="A131" s="45" t="s">
        <v>238</v>
      </c>
      <c r="B131" s="45"/>
      <c r="C131" s="45"/>
      <c r="D131" s="45"/>
      <c r="E131" s="45"/>
      <c r="F131" s="45"/>
      <c r="G131" s="45"/>
      <c r="H131" s="45"/>
      <c r="I131" s="45"/>
      <c r="J131" s="45"/>
      <c r="K131" s="45"/>
      <c r="L131" s="45"/>
      <c r="M131" s="45"/>
      <c r="N131" s="45"/>
      <c r="O131" s="45"/>
      <c r="P131" s="45"/>
    </row>
    <row r="132" spans="1:16" x14ac:dyDescent="0.25">
      <c r="A132" s="45" t="s">
        <v>239</v>
      </c>
      <c r="B132" s="45"/>
      <c r="C132" s="45"/>
      <c r="D132" s="45"/>
      <c r="E132" s="45"/>
      <c r="F132" s="45"/>
      <c r="G132" s="45"/>
      <c r="H132" s="45"/>
      <c r="I132" s="45"/>
      <c r="J132" s="45"/>
      <c r="K132" s="45"/>
      <c r="L132" s="45"/>
      <c r="M132" s="45"/>
      <c r="N132" s="45"/>
      <c r="O132" s="45"/>
      <c r="P132" s="45"/>
    </row>
    <row r="133" spans="1:16" x14ac:dyDescent="0.25">
      <c r="A133" s="45" t="s">
        <v>240</v>
      </c>
      <c r="B133" s="45"/>
      <c r="C133" s="45"/>
      <c r="D133" s="45"/>
      <c r="E133" s="45"/>
      <c r="F133" s="45"/>
      <c r="G133" s="45"/>
      <c r="H133" s="45"/>
      <c r="I133" s="45"/>
      <c r="J133" s="45"/>
      <c r="K133" s="45"/>
      <c r="L133" s="45"/>
      <c r="M133" s="45"/>
      <c r="N133" s="45"/>
      <c r="O133" s="45"/>
      <c r="P133" s="45"/>
    </row>
    <row r="134" spans="1:16" x14ac:dyDescent="0.25">
      <c r="A134" s="45" t="s">
        <v>241</v>
      </c>
      <c r="B134" s="45"/>
      <c r="C134" s="45"/>
      <c r="D134" s="45"/>
      <c r="E134" s="45"/>
      <c r="F134" s="45"/>
      <c r="G134" s="45"/>
      <c r="H134" s="45"/>
      <c r="I134" s="45"/>
      <c r="J134" s="45"/>
      <c r="K134" s="45"/>
      <c r="L134" s="45"/>
      <c r="M134" s="45"/>
      <c r="N134" s="45"/>
      <c r="O134" s="45"/>
      <c r="P134" s="45"/>
    </row>
    <row r="137" spans="1:16" x14ac:dyDescent="0.25">
      <c r="A137" s="45" t="s">
        <v>242</v>
      </c>
      <c r="B137" s="45"/>
      <c r="C137" s="45"/>
      <c r="D137" s="45" t="s">
        <v>243</v>
      </c>
      <c r="E137" s="45"/>
      <c r="F137" s="45"/>
      <c r="G137" s="45"/>
      <c r="H137" s="45"/>
      <c r="I137" s="45"/>
      <c r="J137" s="45"/>
      <c r="K137" s="45"/>
      <c r="L137" s="45"/>
      <c r="M137" s="45"/>
      <c r="N137" s="45"/>
      <c r="O137" s="45"/>
      <c r="P137" s="45"/>
    </row>
    <row r="138" spans="1:16" x14ac:dyDescent="0.25">
      <c r="A138" s="45" t="s">
        <v>244</v>
      </c>
      <c r="B138" s="45"/>
      <c r="C138" s="45"/>
      <c r="D138" s="45"/>
      <c r="E138" s="45"/>
      <c r="F138" s="45"/>
      <c r="G138" s="45"/>
      <c r="H138" s="45"/>
      <c r="I138" s="45"/>
      <c r="J138" s="45"/>
      <c r="K138" s="45"/>
      <c r="L138" s="45"/>
      <c r="M138" s="45"/>
      <c r="N138" s="45"/>
      <c r="O138" s="45"/>
      <c r="P138" s="45"/>
    </row>
    <row r="140" spans="1:16" x14ac:dyDescent="0.25">
      <c r="A140" s="46" t="s">
        <v>245</v>
      </c>
      <c r="B140" s="46"/>
      <c r="C140" s="46"/>
      <c r="D140" s="46" t="s">
        <v>246</v>
      </c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</row>
    <row r="141" spans="1:16" x14ac:dyDescent="0.25">
      <c r="A141" s="46" t="s">
        <v>247</v>
      </c>
      <c r="B141" s="46"/>
      <c r="C141" s="46"/>
      <c r="D141" s="46" t="s">
        <v>248</v>
      </c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</row>
    <row r="142" spans="1:16" x14ac:dyDescent="0.25">
      <c r="A142" s="46" t="s">
        <v>232</v>
      </c>
      <c r="B142" s="46"/>
      <c r="C142" s="46"/>
      <c r="D142" s="46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</row>
    <row r="143" spans="1:16" x14ac:dyDescent="0.25">
      <c r="A143" s="46" t="s">
        <v>162</v>
      </c>
      <c r="B143" s="46"/>
      <c r="C143" s="46"/>
      <c r="D143" s="46"/>
      <c r="E143" s="46"/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46"/>
    </row>
    <row r="144" spans="1:16" x14ac:dyDescent="0.25">
      <c r="A144" s="46" t="s">
        <v>118</v>
      </c>
      <c r="B144" s="46"/>
      <c r="C144" s="46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</row>
    <row r="145" spans="1:16" x14ac:dyDescent="0.25">
      <c r="A145" s="46" t="s">
        <v>125</v>
      </c>
      <c r="B145" s="46"/>
      <c r="C145" s="46"/>
      <c r="D145" s="46"/>
      <c r="E145" s="46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</row>
    <row r="146" spans="1:16" x14ac:dyDescent="0.25">
      <c r="A146" s="46" t="s">
        <v>249</v>
      </c>
      <c r="B146" s="46"/>
      <c r="C146" s="46"/>
      <c r="D146" s="46"/>
      <c r="E146" s="46"/>
      <c r="F146" s="46"/>
      <c r="G146" s="46"/>
      <c r="H146" s="46"/>
      <c r="I146" s="46"/>
      <c r="J146" s="46"/>
      <c r="K146" s="46"/>
      <c r="L146" s="46"/>
      <c r="M146" s="46"/>
      <c r="N146" s="46"/>
      <c r="O146" s="46"/>
      <c r="P146" s="46"/>
    </row>
    <row r="147" spans="1:16" x14ac:dyDescent="0.25">
      <c r="A147" s="46" t="s">
        <v>250</v>
      </c>
      <c r="B147" s="46"/>
      <c r="C147" s="46"/>
      <c r="D147" s="46"/>
      <c r="E147" s="46"/>
      <c r="F147" s="46"/>
      <c r="G147" s="46"/>
      <c r="H147" s="46"/>
      <c r="I147" s="46"/>
      <c r="J147" s="46"/>
      <c r="K147" s="46"/>
      <c r="L147" s="46"/>
      <c r="M147" s="46"/>
      <c r="N147" s="46"/>
      <c r="O147" s="46"/>
      <c r="P147" s="46"/>
    </row>
    <row r="148" spans="1:16" x14ac:dyDescent="0.25">
      <c r="A148" s="46" t="s">
        <v>251</v>
      </c>
      <c r="B148" s="46"/>
      <c r="C148" s="46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</row>
    <row r="150" spans="1:16" x14ac:dyDescent="0.25">
      <c r="A150" s="46" t="s">
        <v>252</v>
      </c>
      <c r="B150" s="46"/>
      <c r="C150" s="46"/>
      <c r="D150" s="46" t="s">
        <v>253</v>
      </c>
      <c r="E150" s="46"/>
      <c r="F150" s="46"/>
      <c r="G150" s="46"/>
      <c r="H150" s="46"/>
      <c r="I150" s="46"/>
      <c r="J150" s="46"/>
      <c r="K150" s="46" t="s">
        <v>254</v>
      </c>
      <c r="L150" s="46"/>
      <c r="M150" s="46"/>
      <c r="N150" s="46"/>
      <c r="O150" s="46"/>
      <c r="P150" s="46"/>
    </row>
    <row r="151" spans="1:16" x14ac:dyDescent="0.25">
      <c r="A151" s="46" t="s">
        <v>255</v>
      </c>
      <c r="B151" s="46"/>
      <c r="C151" s="46"/>
      <c r="D151" s="46"/>
      <c r="E151" s="46"/>
      <c r="F151" s="46"/>
      <c r="G151" s="46"/>
      <c r="H151" s="46"/>
      <c r="I151" s="46"/>
      <c r="J151" s="46"/>
      <c r="K151" s="46"/>
      <c r="L151" s="46"/>
      <c r="M151" s="46"/>
      <c r="N151" s="46"/>
      <c r="O151" s="46"/>
      <c r="P151" s="46"/>
    </row>
    <row r="152" spans="1:16" x14ac:dyDescent="0.25">
      <c r="A152" s="46" t="s">
        <v>256</v>
      </c>
      <c r="B152" s="46"/>
      <c r="C152" s="46"/>
      <c r="D152" s="46"/>
      <c r="E152" s="46"/>
      <c r="F152" s="46"/>
      <c r="G152" s="46"/>
      <c r="H152" s="46"/>
      <c r="I152" s="46"/>
      <c r="J152" s="46"/>
      <c r="K152" s="46" t="s">
        <v>257</v>
      </c>
      <c r="L152" s="46"/>
      <c r="M152" s="46"/>
      <c r="N152" s="46"/>
      <c r="O152" s="46"/>
      <c r="P152" s="46"/>
    </row>
    <row r="153" spans="1:16" x14ac:dyDescent="0.25">
      <c r="A153" s="46"/>
      <c r="B153" s="46"/>
      <c r="C153" s="46"/>
      <c r="D153" s="46"/>
      <c r="E153" s="46"/>
      <c r="F153" s="46"/>
      <c r="G153" s="46"/>
      <c r="H153" s="46"/>
      <c r="I153" s="46"/>
      <c r="J153" s="46"/>
      <c r="K153" s="46"/>
      <c r="L153" s="46"/>
      <c r="M153" s="46"/>
      <c r="N153" s="46"/>
      <c r="O153" s="46"/>
      <c r="P153" s="46"/>
    </row>
    <row r="154" spans="1:16" x14ac:dyDescent="0.25">
      <c r="A154" s="46" t="s">
        <v>258</v>
      </c>
      <c r="B154" s="46"/>
      <c r="C154" s="46"/>
      <c r="D154" s="46"/>
      <c r="E154" s="46"/>
      <c r="F154" s="46"/>
      <c r="G154" s="46"/>
      <c r="H154" s="46"/>
      <c r="I154" s="46"/>
      <c r="J154" s="46"/>
      <c r="K154" s="46" t="s">
        <v>259</v>
      </c>
      <c r="L154" s="46"/>
      <c r="M154" s="46"/>
      <c r="N154" s="46"/>
      <c r="O154" s="46"/>
      <c r="P154" s="46"/>
    </row>
    <row r="155" spans="1:16" x14ac:dyDescent="0.25">
      <c r="A155" s="46" t="s">
        <v>260</v>
      </c>
      <c r="B155" s="46"/>
      <c r="C155" s="46"/>
      <c r="D155" s="46"/>
      <c r="E155" s="46"/>
      <c r="F155" s="46"/>
      <c r="G155" s="46"/>
      <c r="H155" s="46"/>
      <c r="I155" s="46"/>
      <c r="J155" s="46"/>
      <c r="K155" s="46" t="s">
        <v>261</v>
      </c>
      <c r="L155" s="46"/>
      <c r="M155" s="46"/>
      <c r="N155" s="46"/>
      <c r="O155" s="46"/>
      <c r="P155" s="46"/>
    </row>
    <row r="156" spans="1:16" x14ac:dyDescent="0.25">
      <c r="A156" s="46" t="s">
        <v>262</v>
      </c>
      <c r="B156" s="46"/>
      <c r="C156" s="46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</row>
    <row r="157" spans="1:16" x14ac:dyDescent="0.25">
      <c r="A157" s="46" t="s">
        <v>263</v>
      </c>
      <c r="B157" s="46"/>
      <c r="C157" s="46"/>
      <c r="D157" s="46"/>
      <c r="E157" s="46"/>
      <c r="F157" s="46"/>
      <c r="G157" s="46"/>
      <c r="H157" s="46"/>
      <c r="I157" s="46"/>
      <c r="J157" s="46"/>
      <c r="K157" s="46"/>
      <c r="L157" s="46"/>
      <c r="M157" s="46"/>
      <c r="N157" s="46"/>
      <c r="O157" s="46"/>
      <c r="P157" s="46"/>
    </row>
    <row r="158" spans="1:16" x14ac:dyDescent="0.25">
      <c r="A158" s="46" t="s">
        <v>264</v>
      </c>
      <c r="B158" s="46"/>
      <c r="C158" s="46"/>
      <c r="D158" s="46"/>
      <c r="E158" s="46"/>
      <c r="F158" s="46"/>
      <c r="G158" s="46"/>
      <c r="H158" s="46"/>
      <c r="I158" s="46"/>
      <c r="J158" s="46"/>
      <c r="K158" s="46"/>
      <c r="L158" s="46"/>
      <c r="M158" s="46"/>
      <c r="N158" s="46"/>
      <c r="O158" s="46"/>
      <c r="P158" s="46"/>
    </row>
    <row r="160" spans="1:16" x14ac:dyDescent="0.25">
      <c r="A160" s="45" t="s">
        <v>265</v>
      </c>
      <c r="B160" s="45"/>
      <c r="C160" s="45"/>
      <c r="D160" s="45" t="s">
        <v>266</v>
      </c>
      <c r="E160" s="45"/>
      <c r="F160" s="45"/>
      <c r="G160" s="45"/>
      <c r="H160" s="45"/>
      <c r="I160" s="45"/>
      <c r="J160" s="45"/>
      <c r="K160" s="45"/>
      <c r="L160" s="45"/>
      <c r="M160" s="45"/>
      <c r="N160" s="45"/>
      <c r="O160" s="45"/>
      <c r="P160" s="45"/>
    </row>
    <row r="161" spans="1:16" x14ac:dyDescent="0.25">
      <c r="A161" s="45" t="s">
        <v>267</v>
      </c>
      <c r="B161" s="45"/>
      <c r="C161" s="45"/>
      <c r="D161" s="45"/>
      <c r="E161" s="45"/>
      <c r="F161" s="45"/>
      <c r="G161" s="45"/>
      <c r="H161" s="45"/>
      <c r="I161" s="45"/>
      <c r="J161" s="45"/>
      <c r="K161" s="45"/>
      <c r="L161" s="45"/>
      <c r="M161" s="45"/>
      <c r="N161" s="45"/>
      <c r="O161" s="45"/>
      <c r="P161" s="45"/>
    </row>
    <row r="163" spans="1:16" x14ac:dyDescent="0.25">
      <c r="A163" s="46" t="s">
        <v>268</v>
      </c>
      <c r="B163" s="46"/>
      <c r="C163" s="46"/>
      <c r="D163" s="46"/>
      <c r="E163" s="46"/>
      <c r="F163" s="46"/>
      <c r="G163" s="46"/>
      <c r="H163" s="46"/>
      <c r="I163" s="46"/>
      <c r="J163" s="46"/>
      <c r="K163" s="46" t="s">
        <v>269</v>
      </c>
      <c r="L163" s="46"/>
      <c r="M163" s="46"/>
      <c r="N163" s="46"/>
      <c r="O163" s="46"/>
      <c r="P163" s="46"/>
    </row>
    <row r="164" spans="1:16" x14ac:dyDescent="0.25">
      <c r="A164" s="46" t="s">
        <v>149</v>
      </c>
      <c r="B164" s="46"/>
      <c r="C164" s="46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</row>
    <row r="166" spans="1:16" x14ac:dyDescent="0.25">
      <c r="A166" t="s">
        <v>270</v>
      </c>
    </row>
    <row r="167" spans="1:16" x14ac:dyDescent="0.25">
      <c r="A167" t="s">
        <v>271</v>
      </c>
    </row>
    <row r="168" spans="1:16" x14ac:dyDescent="0.25">
      <c r="A168" t="s">
        <v>272</v>
      </c>
    </row>
    <row r="169" spans="1:16" x14ac:dyDescent="0.25">
      <c r="A169" t="s">
        <v>273</v>
      </c>
    </row>
    <row r="170" spans="1:16" x14ac:dyDescent="0.25">
      <c r="A170" t="s">
        <v>274</v>
      </c>
    </row>
    <row r="171" spans="1:16" x14ac:dyDescent="0.25">
      <c r="A171" t="s">
        <v>275</v>
      </c>
    </row>
    <row r="172" spans="1:16" x14ac:dyDescent="0.25">
      <c r="A172" t="s">
        <v>276</v>
      </c>
    </row>
    <row r="173" spans="1:16" x14ac:dyDescent="0.25">
      <c r="A173" t="s">
        <v>277</v>
      </c>
    </row>
    <row r="174" spans="1:16" x14ac:dyDescent="0.25">
      <c r="A174" t="s">
        <v>278</v>
      </c>
    </row>
    <row r="175" spans="1:16" x14ac:dyDescent="0.25">
      <c r="A175" t="s">
        <v>279</v>
      </c>
    </row>
    <row r="176" spans="1:16" x14ac:dyDescent="0.25">
      <c r="A176" t="s">
        <v>280</v>
      </c>
    </row>
    <row r="177" spans="1:1" x14ac:dyDescent="0.25">
      <c r="A177" t="s">
        <v>281</v>
      </c>
    </row>
    <row r="178" spans="1:1" x14ac:dyDescent="0.25">
      <c r="A178" t="s">
        <v>282</v>
      </c>
    </row>
    <row r="179" spans="1:1" x14ac:dyDescent="0.25">
      <c r="A179" t="s">
        <v>283</v>
      </c>
    </row>
    <row r="180" spans="1:1" x14ac:dyDescent="0.25">
      <c r="A180" t="s">
        <v>284</v>
      </c>
    </row>
    <row r="181" spans="1:1" x14ac:dyDescent="0.25">
      <c r="A181" t="s">
        <v>285</v>
      </c>
    </row>
    <row r="182" spans="1:1" x14ac:dyDescent="0.25">
      <c r="A182" t="s">
        <v>286</v>
      </c>
    </row>
    <row r="183" spans="1:1" x14ac:dyDescent="0.25">
      <c r="A183" t="s">
        <v>287</v>
      </c>
    </row>
    <row r="184" spans="1:1" x14ac:dyDescent="0.25">
      <c r="A184" t="s">
        <v>126</v>
      </c>
    </row>
    <row r="185" spans="1:1" x14ac:dyDescent="0.25">
      <c r="A185" t="s">
        <v>288</v>
      </c>
    </row>
    <row r="186" spans="1:1" x14ac:dyDescent="0.25">
      <c r="A186" t="s">
        <v>289</v>
      </c>
    </row>
    <row r="187" spans="1:1" x14ac:dyDescent="0.25">
      <c r="A187" t="s">
        <v>290</v>
      </c>
    </row>
    <row r="188" spans="1:1" x14ac:dyDescent="0.25">
      <c r="A188" t="s">
        <v>291</v>
      </c>
    </row>
    <row r="189" spans="1:1" x14ac:dyDescent="0.25">
      <c r="A189" t="s">
        <v>289</v>
      </c>
    </row>
    <row r="190" spans="1:1" x14ac:dyDescent="0.25">
      <c r="A190" t="s">
        <v>292</v>
      </c>
    </row>
    <row r="191" spans="1:1" x14ac:dyDescent="0.25">
      <c r="A191" t="s">
        <v>293</v>
      </c>
    </row>
    <row r="192" spans="1:1" x14ac:dyDescent="0.25">
      <c r="A192" t="s">
        <v>172</v>
      </c>
    </row>
    <row r="193" spans="1:1" x14ac:dyDescent="0.25">
      <c r="A193" t="s">
        <v>294</v>
      </c>
    </row>
    <row r="194" spans="1:1" x14ac:dyDescent="0.25">
      <c r="A194" t="s">
        <v>295</v>
      </c>
    </row>
    <row r="195" spans="1:1" x14ac:dyDescent="0.25">
      <c r="A195" t="s">
        <v>296</v>
      </c>
    </row>
    <row r="196" spans="1:1" x14ac:dyDescent="0.25">
      <c r="A196" t="s">
        <v>297</v>
      </c>
    </row>
    <row r="197" spans="1:1" x14ac:dyDescent="0.25">
      <c r="A197" t="s">
        <v>298</v>
      </c>
    </row>
    <row r="198" spans="1:1" x14ac:dyDescent="0.25">
      <c r="A198" t="s">
        <v>299</v>
      </c>
    </row>
    <row r="199" spans="1:1" x14ac:dyDescent="0.25">
      <c r="A199" t="s">
        <v>300</v>
      </c>
    </row>
    <row r="200" spans="1:1" x14ac:dyDescent="0.25">
      <c r="A200" t="s">
        <v>301</v>
      </c>
    </row>
    <row r="201" spans="1:1" x14ac:dyDescent="0.25">
      <c r="A201" t="s">
        <v>179</v>
      </c>
    </row>
    <row r="202" spans="1:1" x14ac:dyDescent="0.25">
      <c r="A202" t="s">
        <v>302</v>
      </c>
    </row>
    <row r="203" spans="1:1" x14ac:dyDescent="0.25">
      <c r="A203" t="s">
        <v>303</v>
      </c>
    </row>
    <row r="204" spans="1:1" x14ac:dyDescent="0.25">
      <c r="A204" t="s">
        <v>304</v>
      </c>
    </row>
    <row r="205" spans="1:1" x14ac:dyDescent="0.25">
      <c r="A205" t="s">
        <v>305</v>
      </c>
    </row>
    <row r="206" spans="1:1" x14ac:dyDescent="0.25">
      <c r="A206" t="s">
        <v>306</v>
      </c>
    </row>
    <row r="207" spans="1:1" x14ac:dyDescent="0.25">
      <c r="A207" t="s">
        <v>307</v>
      </c>
    </row>
    <row r="208" spans="1:1" x14ac:dyDescent="0.25">
      <c r="A208" t="s">
        <v>308</v>
      </c>
    </row>
    <row r="209" spans="1:16" x14ac:dyDescent="0.25">
      <c r="A209" t="s">
        <v>309</v>
      </c>
    </row>
    <row r="210" spans="1:16" x14ac:dyDescent="0.25">
      <c r="A210" t="s">
        <v>310</v>
      </c>
    </row>
    <row r="211" spans="1:16" x14ac:dyDescent="0.25">
      <c r="A211" t="s">
        <v>311</v>
      </c>
    </row>
    <row r="212" spans="1:16" x14ac:dyDescent="0.25">
      <c r="A212" t="s">
        <v>312</v>
      </c>
    </row>
    <row r="213" spans="1:16" x14ac:dyDescent="0.25">
      <c r="A213" t="s">
        <v>313</v>
      </c>
    </row>
    <row r="215" spans="1:16" x14ac:dyDescent="0.25">
      <c r="A215" s="46" t="s">
        <v>314</v>
      </c>
      <c r="B215" s="46"/>
      <c r="C215" s="46"/>
      <c r="D215" s="46"/>
      <c r="E215" s="46"/>
      <c r="F215" s="46"/>
      <c r="G215" s="46" t="s">
        <v>315</v>
      </c>
      <c r="H215" s="46"/>
      <c r="I215" s="46"/>
      <c r="J215" s="46"/>
      <c r="K215" s="46"/>
      <c r="L215" s="46"/>
      <c r="M215" s="46"/>
      <c r="N215" s="46"/>
      <c r="O215" s="46"/>
      <c r="P215" s="46"/>
    </row>
    <row r="216" spans="1:16" x14ac:dyDescent="0.25">
      <c r="A216" s="46" t="s">
        <v>316</v>
      </c>
      <c r="B216" s="46"/>
      <c r="C216" s="46"/>
      <c r="D216" s="46"/>
      <c r="E216" s="46"/>
      <c r="F216" s="46"/>
      <c r="G216" s="46" t="s">
        <v>317</v>
      </c>
      <c r="H216" s="46"/>
      <c r="I216" s="46"/>
      <c r="J216" s="46"/>
      <c r="K216" s="46"/>
      <c r="L216" s="46"/>
      <c r="M216" s="46"/>
      <c r="N216" s="46"/>
      <c r="O216" s="46"/>
      <c r="P216" s="46"/>
    </row>
    <row r="217" spans="1:16" x14ac:dyDescent="0.25">
      <c r="A217" s="46" t="s">
        <v>318</v>
      </c>
      <c r="B217" s="46"/>
      <c r="C217" s="46"/>
      <c r="D217" s="46"/>
      <c r="E217" s="46"/>
      <c r="F217" s="46"/>
      <c r="G217" s="46" t="s">
        <v>319</v>
      </c>
      <c r="H217" s="46"/>
      <c r="I217" s="46"/>
      <c r="J217" s="46"/>
      <c r="K217" s="46"/>
      <c r="L217" s="46"/>
      <c r="M217" s="46"/>
      <c r="N217" s="46"/>
      <c r="O217" s="46"/>
      <c r="P217" s="46"/>
    </row>
    <row r="218" spans="1:16" x14ac:dyDescent="0.25">
      <c r="A218" s="46" t="s">
        <v>320</v>
      </c>
      <c r="B218" s="46"/>
      <c r="C218" s="46"/>
      <c r="D218" s="46"/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46"/>
    </row>
    <row r="219" spans="1:16" x14ac:dyDescent="0.25">
      <c r="A219" s="46" t="s">
        <v>321</v>
      </c>
      <c r="B219" s="46"/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</row>
    <row r="220" spans="1:16" x14ac:dyDescent="0.25">
      <c r="A220" s="46" t="s">
        <v>322</v>
      </c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</row>
    <row r="221" spans="1:16" x14ac:dyDescent="0.25">
      <c r="A221" s="46" t="s">
        <v>323</v>
      </c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</row>
    <row r="222" spans="1:16" x14ac:dyDescent="0.25">
      <c r="A222" s="46" t="s">
        <v>324</v>
      </c>
      <c r="B222" s="46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</row>
    <row r="223" spans="1:16" x14ac:dyDescent="0.25">
      <c r="A223" s="46" t="s">
        <v>325</v>
      </c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</row>
    <row r="224" spans="1:16" x14ac:dyDescent="0.25">
      <c r="A224" s="46" t="s">
        <v>326</v>
      </c>
      <c r="B224" s="46"/>
      <c r="C224" s="4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</row>
    <row r="225" spans="1:16" x14ac:dyDescent="0.25">
      <c r="A225" s="46" t="s">
        <v>327</v>
      </c>
      <c r="B225" s="46"/>
      <c r="C225" s="46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</row>
    <row r="226" spans="1:16" x14ac:dyDescent="0.25">
      <c r="A226" s="46" t="s">
        <v>328</v>
      </c>
      <c r="B226" s="46"/>
      <c r="C226" s="46"/>
      <c r="D226" s="46"/>
      <c r="E226" s="46"/>
      <c r="F226" s="46"/>
      <c r="G226" s="46"/>
      <c r="H226" s="46"/>
      <c r="I226" s="46"/>
      <c r="J226" s="46"/>
      <c r="K226" s="46"/>
      <c r="L226" s="46"/>
      <c r="M226" s="46"/>
      <c r="N226" s="46"/>
      <c r="O226" s="46"/>
      <c r="P226" s="46"/>
    </row>
    <row r="227" spans="1:16" x14ac:dyDescent="0.25">
      <c r="A227" s="46" t="s">
        <v>329</v>
      </c>
      <c r="B227" s="46"/>
      <c r="C227" s="46"/>
      <c r="D227" s="46"/>
      <c r="E227" s="46"/>
      <c r="F227" s="46"/>
      <c r="G227" s="46"/>
      <c r="H227" s="46"/>
      <c r="I227" s="46"/>
      <c r="J227" s="46"/>
      <c r="K227" s="46"/>
      <c r="L227" s="46"/>
      <c r="M227" s="46"/>
      <c r="N227" s="46"/>
      <c r="O227" s="46"/>
      <c r="P227" s="46"/>
    </row>
    <row r="228" spans="1:16" x14ac:dyDescent="0.25">
      <c r="A228" s="46" t="s">
        <v>330</v>
      </c>
      <c r="B228" s="46"/>
      <c r="C228" s="46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</row>
    <row r="229" spans="1:16" x14ac:dyDescent="0.25">
      <c r="A229" s="46" t="s">
        <v>331</v>
      </c>
      <c r="B229" s="46"/>
      <c r="C229" s="46"/>
      <c r="D229" s="46"/>
      <c r="E229" s="46"/>
      <c r="F229" s="46"/>
      <c r="G229" s="46"/>
      <c r="H229" s="46"/>
      <c r="I229" s="46"/>
      <c r="J229" s="46"/>
      <c r="K229" s="46"/>
      <c r="L229" s="46"/>
      <c r="M229" s="46"/>
      <c r="N229" s="46"/>
      <c r="O229" s="46"/>
      <c r="P229" s="46"/>
    </row>
    <row r="230" spans="1:16" x14ac:dyDescent="0.25">
      <c r="A230" s="46" t="s">
        <v>332</v>
      </c>
      <c r="B230" s="46"/>
      <c r="C230" s="46"/>
      <c r="D230" s="46"/>
      <c r="E230" s="46"/>
      <c r="F230" s="46"/>
      <c r="G230" s="46"/>
      <c r="H230" s="46"/>
      <c r="I230" s="46"/>
      <c r="J230" s="46"/>
      <c r="K230" s="46"/>
      <c r="L230" s="46"/>
      <c r="M230" s="46"/>
      <c r="N230" s="46"/>
      <c r="O230" s="46"/>
      <c r="P230" s="46"/>
    </row>
    <row r="231" spans="1:16" x14ac:dyDescent="0.25">
      <c r="A231" s="46" t="s">
        <v>333</v>
      </c>
      <c r="B231" s="46"/>
      <c r="C231" s="46"/>
      <c r="D231" s="46"/>
      <c r="E231" s="46"/>
      <c r="F231" s="46"/>
      <c r="G231" s="46"/>
      <c r="H231" s="46"/>
      <c r="I231" s="46"/>
      <c r="J231" s="46"/>
      <c r="K231" s="46"/>
      <c r="L231" s="46"/>
      <c r="M231" s="46"/>
      <c r="N231" s="46"/>
      <c r="O231" s="46"/>
      <c r="P231" s="46"/>
    </row>
    <row r="232" spans="1:16" x14ac:dyDescent="0.25">
      <c r="A232" s="46" t="s">
        <v>334</v>
      </c>
      <c r="B232" s="46"/>
      <c r="C232" s="4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</row>
    <row r="233" spans="1:16" x14ac:dyDescent="0.25">
      <c r="A233" s="46" t="s">
        <v>335</v>
      </c>
      <c r="B233" s="46"/>
      <c r="C233" s="46"/>
      <c r="D233" s="46"/>
      <c r="E233" s="46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</row>
    <row r="234" spans="1:16" x14ac:dyDescent="0.25">
      <c r="A234" s="46" t="s">
        <v>336</v>
      </c>
      <c r="B234" s="46"/>
      <c r="C234" s="46"/>
      <c r="D234" s="46"/>
      <c r="E234" s="46"/>
      <c r="F234" s="46"/>
      <c r="G234" s="46"/>
      <c r="H234" s="46"/>
      <c r="I234" s="46"/>
      <c r="J234" s="46"/>
      <c r="K234" s="46"/>
      <c r="L234" s="46"/>
      <c r="M234" s="46"/>
      <c r="N234" s="46"/>
      <c r="O234" s="46"/>
      <c r="P234" s="46"/>
    </row>
    <row r="235" spans="1:16" x14ac:dyDescent="0.25">
      <c r="A235" s="46" t="s">
        <v>337</v>
      </c>
      <c r="B235" s="46"/>
      <c r="C235" s="46"/>
      <c r="D235" s="46"/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46"/>
    </row>
    <row r="236" spans="1:16" x14ac:dyDescent="0.25">
      <c r="A236" s="46" t="s">
        <v>338</v>
      </c>
      <c r="B236" s="46"/>
      <c r="C236" s="46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</row>
    <row r="237" spans="1:16" x14ac:dyDescent="0.25">
      <c r="A237" s="46" t="s">
        <v>339</v>
      </c>
      <c r="B237" s="46"/>
      <c r="C237" s="46"/>
      <c r="D237" s="46"/>
      <c r="E237" s="46"/>
      <c r="F237" s="46"/>
      <c r="G237" s="46"/>
      <c r="H237" s="46"/>
      <c r="I237" s="46"/>
      <c r="J237" s="46"/>
      <c r="K237" s="46"/>
      <c r="L237" s="46"/>
      <c r="M237" s="46"/>
      <c r="N237" s="46"/>
      <c r="O237" s="46"/>
      <c r="P237" s="46"/>
    </row>
    <row r="238" spans="1:16" x14ac:dyDescent="0.25">
      <c r="A238" s="46" t="s">
        <v>340</v>
      </c>
      <c r="B238" s="46"/>
      <c r="C238" s="46"/>
      <c r="D238" s="46"/>
      <c r="E238" s="46"/>
      <c r="F238" s="46"/>
      <c r="G238" s="46"/>
      <c r="H238" s="46"/>
      <c r="I238" s="46"/>
      <c r="J238" s="46"/>
      <c r="K238" s="46"/>
      <c r="L238" s="46"/>
      <c r="M238" s="46"/>
      <c r="N238" s="46"/>
      <c r="O238" s="46"/>
      <c r="P238" s="46"/>
    </row>
    <row r="239" spans="1:16" x14ac:dyDescent="0.25">
      <c r="A239" s="46" t="s">
        <v>341</v>
      </c>
      <c r="B239" s="46"/>
      <c r="C239" s="46"/>
      <c r="D239" s="46"/>
      <c r="E239" s="46"/>
      <c r="F239" s="46"/>
      <c r="G239" s="46"/>
      <c r="H239" s="46"/>
      <c r="I239" s="46"/>
      <c r="J239" s="46"/>
      <c r="K239" s="46"/>
      <c r="L239" s="46"/>
      <c r="M239" s="46"/>
      <c r="N239" s="46"/>
      <c r="O239" s="46"/>
      <c r="P239" s="46"/>
    </row>
    <row r="240" spans="1:16" x14ac:dyDescent="0.25">
      <c r="A240" s="46" t="s">
        <v>342</v>
      </c>
      <c r="B240" s="46"/>
      <c r="C240" s="46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</row>
    <row r="241" spans="1:16" x14ac:dyDescent="0.25">
      <c r="A241" s="46" t="s">
        <v>343</v>
      </c>
      <c r="B241" s="46"/>
      <c r="C241" s="46"/>
      <c r="D241" s="46"/>
      <c r="E241" s="46"/>
      <c r="F241" s="46"/>
      <c r="G241" s="46"/>
      <c r="H241" s="46"/>
      <c r="I241" s="46"/>
      <c r="J241" s="46"/>
      <c r="K241" s="46"/>
      <c r="L241" s="46"/>
      <c r="M241" s="46"/>
      <c r="N241" s="46"/>
      <c r="O241" s="46"/>
      <c r="P241" s="46"/>
    </row>
    <row r="242" spans="1:16" x14ac:dyDescent="0.25">
      <c r="A242" s="46" t="s">
        <v>344</v>
      </c>
      <c r="B242" s="46"/>
      <c r="C242" s="46"/>
      <c r="D242" s="46"/>
      <c r="E242" s="46"/>
      <c r="F242" s="46"/>
      <c r="G242" s="46"/>
      <c r="H242" s="46"/>
      <c r="I242" s="46"/>
      <c r="J242" s="46"/>
      <c r="K242" s="46"/>
      <c r="L242" s="46"/>
      <c r="M242" s="46"/>
      <c r="N242" s="46"/>
      <c r="O242" s="46"/>
      <c r="P242" s="46"/>
    </row>
    <row r="243" spans="1:16" x14ac:dyDescent="0.25">
      <c r="A243" s="46" t="s">
        <v>345</v>
      </c>
      <c r="B243" s="46"/>
      <c r="C243" s="46"/>
      <c r="D243" s="46"/>
      <c r="E243" s="46"/>
      <c r="F243" s="46"/>
      <c r="G243" s="46"/>
      <c r="H243" s="46"/>
      <c r="I243" s="46"/>
      <c r="J243" s="46"/>
      <c r="K243" s="46"/>
      <c r="L243" s="46"/>
      <c r="M243" s="46"/>
      <c r="N243" s="46"/>
      <c r="O243" s="46"/>
      <c r="P243" s="46"/>
    </row>
    <row r="244" spans="1:16" x14ac:dyDescent="0.25">
      <c r="A244" s="46" t="s">
        <v>346</v>
      </c>
      <c r="B244" s="46"/>
      <c r="C244" s="46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</row>
    <row r="245" spans="1:16" x14ac:dyDescent="0.25">
      <c r="A245" s="46" t="s">
        <v>347</v>
      </c>
      <c r="B245" s="46"/>
      <c r="C245" s="46"/>
      <c r="D245" s="46"/>
      <c r="E245" s="46"/>
      <c r="F245" s="46"/>
      <c r="G245" s="46"/>
      <c r="H245" s="46"/>
      <c r="I245" s="46"/>
      <c r="J245" s="46"/>
      <c r="K245" s="46"/>
      <c r="L245" s="46"/>
      <c r="M245" s="46"/>
      <c r="N245" s="46"/>
      <c r="O245" s="46"/>
      <c r="P245" s="46"/>
    </row>
    <row r="246" spans="1:16" x14ac:dyDescent="0.25">
      <c r="A246" s="46" t="s">
        <v>348</v>
      </c>
      <c r="B246" s="46"/>
      <c r="C246" s="46"/>
      <c r="D246" s="46"/>
      <c r="E246" s="46"/>
      <c r="F246" s="46"/>
      <c r="G246" s="46"/>
      <c r="H246" s="46"/>
      <c r="I246" s="46"/>
      <c r="J246" s="46"/>
      <c r="K246" s="46"/>
      <c r="L246" s="46"/>
      <c r="M246" s="46"/>
      <c r="N246" s="46"/>
      <c r="O246" s="46"/>
      <c r="P246" s="46"/>
    </row>
    <row r="247" spans="1:16" x14ac:dyDescent="0.25">
      <c r="A247" s="46" t="s">
        <v>349</v>
      </c>
      <c r="B247" s="46"/>
      <c r="C247" s="46"/>
      <c r="D247" s="46"/>
      <c r="E247" s="46"/>
      <c r="F247" s="46"/>
      <c r="G247" s="46"/>
      <c r="H247" s="46"/>
      <c r="I247" s="46"/>
      <c r="J247" s="46"/>
      <c r="K247" s="46"/>
      <c r="L247" s="46"/>
      <c r="M247" s="46"/>
      <c r="N247" s="46"/>
      <c r="O247" s="46"/>
      <c r="P247" s="46"/>
    </row>
    <row r="248" spans="1:16" x14ac:dyDescent="0.25">
      <c r="A248" s="46" t="s">
        <v>350</v>
      </c>
      <c r="B248" s="46"/>
      <c r="C248" s="46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</row>
    <row r="249" spans="1:16" x14ac:dyDescent="0.25">
      <c r="A249" s="46" t="s">
        <v>351</v>
      </c>
      <c r="B249" s="46"/>
      <c r="C249" s="46"/>
      <c r="D249" s="46"/>
      <c r="E249" s="46"/>
      <c r="F249" s="46"/>
      <c r="G249" s="46"/>
      <c r="H249" s="46"/>
      <c r="I249" s="46"/>
      <c r="J249" s="46"/>
      <c r="K249" s="46"/>
      <c r="L249" s="46"/>
      <c r="M249" s="46"/>
      <c r="N249" s="46"/>
      <c r="O249" s="46"/>
      <c r="P249" s="46"/>
    </row>
    <row r="250" spans="1:16" x14ac:dyDescent="0.25">
      <c r="A250" s="46" t="s">
        <v>352</v>
      </c>
      <c r="B250" s="46"/>
      <c r="C250" s="46"/>
      <c r="D250" s="46"/>
      <c r="E250" s="46"/>
      <c r="F250" s="46"/>
      <c r="G250" s="46"/>
      <c r="H250" s="46"/>
      <c r="I250" s="46"/>
      <c r="J250" s="46"/>
      <c r="K250" s="46"/>
      <c r="L250" s="46"/>
      <c r="M250" s="46"/>
      <c r="N250" s="46"/>
      <c r="O250" s="46"/>
      <c r="P250" s="46"/>
    </row>
    <row r="251" spans="1:16" x14ac:dyDescent="0.25">
      <c r="A251" s="46" t="s">
        <v>353</v>
      </c>
      <c r="B251" s="46"/>
      <c r="C251" s="46"/>
      <c r="D251" s="46"/>
      <c r="E251" s="46"/>
      <c r="F251" s="46"/>
      <c r="G251" s="46"/>
      <c r="H251" s="46"/>
      <c r="I251" s="46"/>
      <c r="J251" s="46"/>
      <c r="K251" s="46"/>
      <c r="L251" s="46"/>
      <c r="M251" s="46"/>
      <c r="N251" s="46"/>
      <c r="O251" s="46"/>
      <c r="P251" s="46"/>
    </row>
    <row r="252" spans="1:16" x14ac:dyDescent="0.25">
      <c r="A252" s="46" t="s">
        <v>354</v>
      </c>
      <c r="B252" s="46"/>
      <c r="C252" s="46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</row>
    <row r="253" spans="1:16" x14ac:dyDescent="0.25">
      <c r="A253" s="46" t="s">
        <v>355</v>
      </c>
      <c r="B253" s="46"/>
      <c r="C253" s="46"/>
      <c r="D253" s="46"/>
      <c r="E253" s="46"/>
      <c r="F253" s="46"/>
      <c r="G253" s="46"/>
      <c r="H253" s="46"/>
      <c r="I253" s="46"/>
      <c r="J253" s="46"/>
      <c r="K253" s="46"/>
      <c r="L253" s="46"/>
      <c r="M253" s="46"/>
      <c r="N253" s="46"/>
      <c r="O253" s="46"/>
      <c r="P253" s="46"/>
    </row>
    <row r="254" spans="1:16" x14ac:dyDescent="0.25">
      <c r="A254" s="46" t="s">
        <v>356</v>
      </c>
      <c r="B254" s="46"/>
      <c r="C254" s="46"/>
      <c r="D254" s="46"/>
      <c r="E254" s="46"/>
      <c r="F254" s="46"/>
      <c r="G254" s="46"/>
      <c r="H254" s="46"/>
      <c r="I254" s="46"/>
      <c r="J254" s="46"/>
      <c r="K254" s="46"/>
      <c r="L254" s="46"/>
      <c r="M254" s="46"/>
      <c r="N254" s="46"/>
      <c r="O254" s="46"/>
      <c r="P254" s="46"/>
    </row>
    <row r="255" spans="1:16" x14ac:dyDescent="0.25">
      <c r="A255" s="46" t="s">
        <v>357</v>
      </c>
      <c r="B255" s="46"/>
      <c r="C255" s="46"/>
      <c r="D255" s="46"/>
      <c r="E255" s="46"/>
      <c r="F255" s="46"/>
      <c r="G255" s="46"/>
      <c r="H255" s="46"/>
      <c r="I255" s="46"/>
      <c r="J255" s="46"/>
      <c r="K255" s="46"/>
      <c r="L255" s="46"/>
      <c r="M255" s="46"/>
      <c r="N255" s="46"/>
      <c r="O255" s="46"/>
      <c r="P255" s="46"/>
    </row>
    <row r="256" spans="1:16" x14ac:dyDescent="0.25">
      <c r="A256" s="46" t="s">
        <v>358</v>
      </c>
      <c r="B256" s="46"/>
      <c r="C256" s="46"/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</row>
    <row r="257" spans="1:16" x14ac:dyDescent="0.25">
      <c r="A257" s="46" t="s">
        <v>359</v>
      </c>
      <c r="B257" s="46"/>
      <c r="C257" s="46"/>
      <c r="D257" s="46"/>
      <c r="E257" s="46"/>
      <c r="F257" s="46"/>
      <c r="G257" s="46"/>
      <c r="H257" s="46"/>
      <c r="I257" s="46"/>
      <c r="J257" s="46"/>
      <c r="K257" s="46"/>
      <c r="L257" s="46"/>
      <c r="M257" s="46"/>
      <c r="N257" s="46"/>
      <c r="O257" s="46"/>
      <c r="P257" s="46"/>
    </row>
    <row r="259" spans="1:16" x14ac:dyDescent="0.25">
      <c r="A259" t="s">
        <v>360</v>
      </c>
    </row>
    <row r="260" spans="1:16" x14ac:dyDescent="0.25">
      <c r="A260" t="s">
        <v>361</v>
      </c>
    </row>
    <row r="261" spans="1:16" x14ac:dyDescent="0.25">
      <c r="A261" t="s">
        <v>362</v>
      </c>
    </row>
    <row r="262" spans="1:16" x14ac:dyDescent="0.25">
      <c r="A262" t="s">
        <v>363</v>
      </c>
    </row>
    <row r="263" spans="1:16" x14ac:dyDescent="0.25">
      <c r="A263" t="s">
        <v>364</v>
      </c>
    </row>
    <row r="265" spans="1:16" x14ac:dyDescent="0.25">
      <c r="A265" t="s">
        <v>365</v>
      </c>
    </row>
    <row r="266" spans="1:16" x14ac:dyDescent="0.25">
      <c r="A266" t="s">
        <v>366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2"/>
  <sheetViews>
    <sheetView topLeftCell="A14" workbookViewId="0">
      <selection activeCell="A28" sqref="A28"/>
    </sheetView>
  </sheetViews>
  <sheetFormatPr defaultRowHeight="15" x14ac:dyDescent="0.25"/>
  <cols>
    <col min="1" max="1" width="32.28515625" bestFit="1" customWidth="1"/>
  </cols>
  <sheetData>
    <row r="1" spans="1:1" x14ac:dyDescent="0.25">
      <c r="A1" s="41" t="s">
        <v>11</v>
      </c>
    </row>
    <row r="2" spans="1:1" x14ac:dyDescent="0.25">
      <c r="A2" s="42" t="s">
        <v>51</v>
      </c>
    </row>
    <row r="3" spans="1:1" x14ac:dyDescent="0.25">
      <c r="A3" s="42" t="s">
        <v>52</v>
      </c>
    </row>
    <row r="4" spans="1:1" x14ac:dyDescent="0.25">
      <c r="A4" s="42" t="s">
        <v>53</v>
      </c>
    </row>
    <row r="5" spans="1:1" x14ac:dyDescent="0.25">
      <c r="A5" s="41" t="s">
        <v>14</v>
      </c>
    </row>
    <row r="6" spans="1:1" x14ac:dyDescent="0.25">
      <c r="A6" s="42" t="s">
        <v>54</v>
      </c>
    </row>
    <row r="7" spans="1:1" x14ac:dyDescent="0.25">
      <c r="A7" s="42" t="s">
        <v>55</v>
      </c>
    </row>
    <row r="8" spans="1:1" x14ac:dyDescent="0.25">
      <c r="A8" s="42" t="s">
        <v>56</v>
      </c>
    </row>
    <row r="9" spans="1:1" x14ac:dyDescent="0.25">
      <c r="A9" s="41" t="s">
        <v>15</v>
      </c>
    </row>
    <row r="10" spans="1:1" x14ac:dyDescent="0.25">
      <c r="A10" s="42" t="s">
        <v>57</v>
      </c>
    </row>
    <row r="11" spans="1:1" x14ac:dyDescent="0.25">
      <c r="A11" s="42" t="s">
        <v>58</v>
      </c>
    </row>
    <row r="12" spans="1:1" x14ac:dyDescent="0.25">
      <c r="A12" s="42" t="s">
        <v>59</v>
      </c>
    </row>
    <row r="13" spans="1:1" x14ac:dyDescent="0.25">
      <c r="A13" s="42" t="s">
        <v>60</v>
      </c>
    </row>
    <row r="14" spans="1:1" x14ac:dyDescent="0.25">
      <c r="A14" s="42" t="s">
        <v>61</v>
      </c>
    </row>
    <row r="15" spans="1:1" x14ac:dyDescent="0.25">
      <c r="A15" s="42" t="s">
        <v>62</v>
      </c>
    </row>
    <row r="16" spans="1:1" x14ac:dyDescent="0.25">
      <c r="A16" s="42" t="s">
        <v>63</v>
      </c>
    </row>
    <row r="17" spans="1:1" x14ac:dyDescent="0.25">
      <c r="A17" s="42" t="s">
        <v>64</v>
      </c>
    </row>
    <row r="18" spans="1:1" x14ac:dyDescent="0.25">
      <c r="A18" s="42" t="s">
        <v>65</v>
      </c>
    </row>
    <row r="19" spans="1:1" x14ac:dyDescent="0.25">
      <c r="A19" s="41" t="s">
        <v>16</v>
      </c>
    </row>
    <row r="20" spans="1:1" x14ac:dyDescent="0.25">
      <c r="A20" s="42" t="s">
        <v>66</v>
      </c>
    </row>
    <row r="21" spans="1:1" x14ac:dyDescent="0.25">
      <c r="A21" s="42" t="s">
        <v>67</v>
      </c>
    </row>
    <row r="22" spans="1:1" x14ac:dyDescent="0.25">
      <c r="A22" s="42" t="s">
        <v>68</v>
      </c>
    </row>
    <row r="23" spans="1:1" x14ac:dyDescent="0.25">
      <c r="A23" s="42" t="s">
        <v>69</v>
      </c>
    </row>
    <row r="24" spans="1:1" x14ac:dyDescent="0.25">
      <c r="A24" s="42" t="s">
        <v>70</v>
      </c>
    </row>
    <row r="25" spans="1:1" x14ac:dyDescent="0.25">
      <c r="A25" s="42" t="s">
        <v>71</v>
      </c>
    </row>
    <row r="26" spans="1:1" x14ac:dyDescent="0.25">
      <c r="A26" s="42" t="s">
        <v>72</v>
      </c>
    </row>
    <row r="27" spans="1:1" x14ac:dyDescent="0.25">
      <c r="A27" s="42" t="s">
        <v>73</v>
      </c>
    </row>
    <row r="28" spans="1:1" x14ac:dyDescent="0.25">
      <c r="A28" s="42" t="s">
        <v>74</v>
      </c>
    </row>
    <row r="29" spans="1:1" x14ac:dyDescent="0.25">
      <c r="A29" s="42" t="s">
        <v>75</v>
      </c>
    </row>
    <row r="30" spans="1:1" x14ac:dyDescent="0.25">
      <c r="A30" s="41" t="s">
        <v>17</v>
      </c>
    </row>
    <row r="31" spans="1:1" x14ac:dyDescent="0.25">
      <c r="A31" s="42" t="s">
        <v>76</v>
      </c>
    </row>
    <row r="32" spans="1:1" x14ac:dyDescent="0.25">
      <c r="A32" s="42" t="s">
        <v>77</v>
      </c>
    </row>
    <row r="33" spans="1:1" x14ac:dyDescent="0.25">
      <c r="A33" s="42" t="s">
        <v>78</v>
      </c>
    </row>
    <row r="34" spans="1:1" x14ac:dyDescent="0.25">
      <c r="A34" s="42" t="s">
        <v>79</v>
      </c>
    </row>
    <row r="35" spans="1:1" x14ac:dyDescent="0.25">
      <c r="A35" s="42" t="s">
        <v>80</v>
      </c>
    </row>
    <row r="36" spans="1:1" x14ac:dyDescent="0.25">
      <c r="A36" s="42" t="s">
        <v>81</v>
      </c>
    </row>
    <row r="37" spans="1:1" x14ac:dyDescent="0.25">
      <c r="A37" s="42" t="s">
        <v>82</v>
      </c>
    </row>
    <row r="38" spans="1:1" x14ac:dyDescent="0.25">
      <c r="A38" s="42" t="s">
        <v>83</v>
      </c>
    </row>
    <row r="39" spans="1:1" x14ac:dyDescent="0.25">
      <c r="A39" s="42" t="s">
        <v>84</v>
      </c>
    </row>
    <row r="40" spans="1:1" x14ac:dyDescent="0.25">
      <c r="A40" s="42" t="s">
        <v>85</v>
      </c>
    </row>
    <row r="41" spans="1:1" x14ac:dyDescent="0.25">
      <c r="A41" s="42" t="s">
        <v>86</v>
      </c>
    </row>
    <row r="42" spans="1:1" x14ac:dyDescent="0.25">
      <c r="A42" s="42" t="s">
        <v>87</v>
      </c>
    </row>
    <row r="43" spans="1:1" x14ac:dyDescent="0.25">
      <c r="A43" s="41" t="s">
        <v>18</v>
      </c>
    </row>
    <row r="44" spans="1:1" x14ac:dyDescent="0.25">
      <c r="A44" s="42" t="s">
        <v>88</v>
      </c>
    </row>
    <row r="45" spans="1:1" x14ac:dyDescent="0.25">
      <c r="A45" s="42" t="s">
        <v>89</v>
      </c>
    </row>
    <row r="46" spans="1:1" x14ac:dyDescent="0.25">
      <c r="A46" s="42" t="s">
        <v>90</v>
      </c>
    </row>
    <row r="47" spans="1:1" x14ac:dyDescent="0.25">
      <c r="A47" s="42" t="s">
        <v>91</v>
      </c>
    </row>
    <row r="48" spans="1:1" x14ac:dyDescent="0.25">
      <c r="A48" s="42" t="s">
        <v>92</v>
      </c>
    </row>
    <row r="49" spans="1:1" x14ac:dyDescent="0.25">
      <c r="A49" s="42" t="s">
        <v>93</v>
      </c>
    </row>
    <row r="50" spans="1:1" x14ac:dyDescent="0.25">
      <c r="A50" s="42" t="s">
        <v>94</v>
      </c>
    </row>
    <row r="51" spans="1:1" x14ac:dyDescent="0.25">
      <c r="A51" s="42" t="s">
        <v>95</v>
      </c>
    </row>
    <row r="52" spans="1:1" x14ac:dyDescent="0.25">
      <c r="A52" s="42" t="s">
        <v>96</v>
      </c>
    </row>
    <row r="53" spans="1:1" x14ac:dyDescent="0.25">
      <c r="A53" s="41" t="s">
        <v>19</v>
      </c>
    </row>
    <row r="54" spans="1:1" x14ac:dyDescent="0.25">
      <c r="A54" s="42" t="s">
        <v>97</v>
      </c>
    </row>
    <row r="55" spans="1:1" x14ac:dyDescent="0.25">
      <c r="A55" s="42" t="s">
        <v>98</v>
      </c>
    </row>
    <row r="56" spans="1:1" x14ac:dyDescent="0.25">
      <c r="A56" s="42" t="s">
        <v>99</v>
      </c>
    </row>
    <row r="57" spans="1:1" x14ac:dyDescent="0.25">
      <c r="A57" s="42" t="s">
        <v>100</v>
      </c>
    </row>
    <row r="58" spans="1:1" x14ac:dyDescent="0.25">
      <c r="A58" s="42" t="s">
        <v>101</v>
      </c>
    </row>
    <row r="59" spans="1:1" x14ac:dyDescent="0.25">
      <c r="A59" s="42" t="s">
        <v>102</v>
      </c>
    </row>
    <row r="60" spans="1:1" x14ac:dyDescent="0.25">
      <c r="A60" s="42" t="s">
        <v>103</v>
      </c>
    </row>
    <row r="61" spans="1:1" x14ac:dyDescent="0.25">
      <c r="A61" s="42" t="s">
        <v>104</v>
      </c>
    </row>
    <row r="62" spans="1:1" x14ac:dyDescent="0.25">
      <c r="A62" s="42" t="s">
        <v>105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selection activeCell="B1" sqref="B1"/>
    </sheetView>
  </sheetViews>
  <sheetFormatPr defaultRowHeight="15" x14ac:dyDescent="0.25"/>
  <sheetData>
    <row r="1" spans="1:2" x14ac:dyDescent="0.25">
      <c r="A1" s="43" t="s">
        <v>106</v>
      </c>
      <c r="B1" s="44">
        <f>24*365</f>
        <v>8760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LEU SVN</vt:lpstr>
      <vt:lpstr>MTBD</vt:lpstr>
      <vt:lpstr>Pivot Error</vt:lpstr>
      <vt:lpstr>Error Sum</vt:lpstr>
      <vt:lpstr>Diag_Summary</vt:lpstr>
      <vt:lpstr>Stations</vt:lpstr>
      <vt:lpstr>Settings</vt:lpstr>
      <vt:lpstr>hours_per_year</vt:lpstr>
    </vt:vector>
  </TitlesOfParts>
  <Company>Thales Austria GmbH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MOSER Florian</dc:creator>
  <cp:lastModifiedBy>SCHEUER Markus</cp:lastModifiedBy>
  <dcterms:created xsi:type="dcterms:W3CDTF">2016-05-17T08:55:12Z</dcterms:created>
  <dcterms:modified xsi:type="dcterms:W3CDTF">2016-11-28T12:53:40Z</dcterms:modified>
</cp:coreProperties>
</file>