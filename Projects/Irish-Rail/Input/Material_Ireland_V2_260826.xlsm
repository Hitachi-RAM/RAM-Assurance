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zenz\Documents\Irland\"/>
    </mc:Choice>
  </mc:AlternateContent>
  <xr:revisionPtr revIDLastSave="0" documentId="13_ncr:1_{90F907A6-F8DF-4CAF-8499-B44A0E168ED3}" xr6:coauthVersionLast="47" xr6:coauthVersionMax="47" xr10:uidLastSave="{00000000-0000-0000-0000-000000000000}"/>
  <bookViews>
    <workbookView xWindow="630" yWindow="1365" windowWidth="26565" windowHeight="13275" tabRatio="865" xr2:uid="{00000000-000D-0000-FFFF-FFFF00000000}"/>
  </bookViews>
  <sheets>
    <sheet name="IPP - Details" sheetId="11" r:id="rId1"/>
  </sheets>
  <externalReferences>
    <externalReference r:id="rId2"/>
  </externalReferences>
  <definedNames>
    <definedName name="_xlnm._FilterDatabase" localSheetId="0" hidden="1">'IPP - Details'!$A$8:$R$33</definedName>
    <definedName name="HTML_CodePage" hidden="1">1252</definedName>
    <definedName name="HTML_Control" hidden="1">{"'SynthèsesAffaires'!$A$1:$D$82"}</definedName>
    <definedName name="HTML_Description" hidden="1">""</definedName>
    <definedName name="HTML_Email" hidden="1">""</definedName>
    <definedName name="HTML_Header" hidden="1">"Regroupement des affaires dans les synthèses"</definedName>
    <definedName name="HTML_LastUpdate" hidden="1">"25/02/03"</definedName>
    <definedName name="HTML_LineAfter" hidden="1">FALSE</definedName>
    <definedName name="HTML_LineBefore" hidden="1">FALSE</definedName>
    <definedName name="HTML_Name" hidden="1">"k003980"</definedName>
    <definedName name="HTML_OBDlg2" hidden="1">TRUE</definedName>
    <definedName name="HTML_OBDlg4" hidden="1">TRUE</definedName>
    <definedName name="HTML_OS" hidden="1">0</definedName>
    <definedName name="HTML_PathFile" hidden="1">"C:\local\perso\MonHTML.htm"</definedName>
    <definedName name="HTML_Title" hidden="1">"Base de suivi revues de synthèse"</definedName>
    <definedName name="_xlnm.Print_Titles" localSheetId="0">'IPP - Details'!$8:$8</definedName>
    <definedName name="ProcurementCategory">'[1]Procurement Category'!$A$2:$A$44</definedName>
    <definedName name="titi" hidden="1">{"'SynthèsesAffaires'!$A$1:$D$82"}</definedName>
    <definedName name="wrn.char9900." hidden="1">{#N/A,#N/A,FALSE,"chargtbu";#N/A,#N/A,FALSE,"chargsbu";#N/A,#N/A,FALSE,"ECART SERIE";#N/A,#N/A,FALSE,"ECART ETUDES";#N/A,#N/A,FALSE,"graphtbu";#N/A,#N/A,FALSE,"graphsbu"}</definedName>
    <definedName name="wrn.NOTIF99." hidden="1">{#N/A,#N/A,FALSE,"récap";#N/A,#N/A,FALSE,"TOTAL";#N/A,#N/A,FALSE,"DIR";#N/A,#N/A,FALSE,"HA";#N/A,#N/A,FALSE,"QO";#N/A,#N/A,FALSE,"IV";#N/A,#N/A,FALSE,"DI";#N/A,#N/A,FALSE,"IC";#N/A,#N/A,FALSE,"PRODUIT";#N/A,#N/A,FALSE,"SYSTEME";#N/A,#N/A,FALSE,"GVN";#N/A,#N/A,FALSE,"EA";#N/A,#N/A,FALSE,"TI";#N/A,#N/A,FALSE,"LO";#N/A,#N/A,FALSE,"DCP";#N/A,#N/A,FALSE,"BOURSIER"}</definedName>
    <definedName name="wrn.RESU98." hidden="1">{#N/A,#N/A,FALSE,"TOTAL";#N/A,#N/A,FALSE,"TI";#N/A,#N/A,FALSE,"DI";#N/A,#N/A,FALSE,"DN";#N/A,#N/A,FALSE,"EA";#N/A,#N/A,FALSE,"AL";#N/A,#N/A,FALSE,"GVN";#N/A,#N/A,FALSE,"qualité";#N/A,#N/A,FALSE,"achats";#N/A,#N/A,FALSE,"direction";#N/A,#N/A,FALSE,"IV";#N/A,#N/A,FALSE,"IC";#N/A,#N/A,FALSE,"Boursier"}</definedName>
    <definedName name="wrn.TdB._.complet." hidden="1">{"PageGarde1",#N/A,TRUE,"Page de garde";"Page0_1",#N/A,TRUE,"0.1 Fiche Descriptif Programme";"Page0_2",#N/A,TRUE,"0.2 Organisation";"Page1_1",#N/A,TRUE,"1.1 Faits Marquants";"Page1_2",#N/A,TRUE,"1.2 Décisions-Actions";"Page1_3",#N/A,TRUE,"1.3 Indicateur Satisfaction";"Page2_1",#N/A,TRUE,"2.1 Planning Directeur";"Page2_2",#N/A,TRUE,"2.2 Jalons Contractuels";"Page2_3",#N/A,TRUE,"2.3 IMD-IRD";"Page2_4",#N/A,TRUE,"2.4 Avancement Jalons";"Page2_5",#N/A,TRUE,"2.5 DFT";"Page2_6",#N/A,TRUE,"2.6 Obligations Client";"Page3_1",#N/A,TRUE,"3.1 Risques";"Page3_2",#N/A,TRUE,"3.2 Opportunités";"4_Performances",#N/A,TRUE,"4 Perfs et Exigences Critiques";"Page5_Charges",#N/A,TRUE,"5 Charges-Capacité";"6 Proch Etapes",#N/A,TRUE,"6 Proch. Etapes";"7 Reporting Spec",#N/A,TRUE,"7 Reporting Spec.";"Chap8",#N/A,TRUE,"Chap8";"Page8_1",#N/A,TRUE,"8.1 COP-CEP";"Page8_2",#N/A,TRUE,"8.2 CPP-CPE ";"Page8_3",#N/A,TRUE,"8.3 CPP-CPE par WP";"Page8_4",#N/A,TRUE,"8.4 Dépenses CPR-PPS";"Page8_5",#N/A,TRUE,"8.5 Compte d'Exploitation";"Page8_6",#N/A,TRUE,"8.6 Rentabilité"}</definedName>
    <definedName name="ww" hidden="1">{#N/A,#N/A,FALSE,"récap";#N/A,#N/A,FALSE,"TOTAL";#N/A,#N/A,FALSE,"DIR";#N/A,#N/A,FALSE,"HA";#N/A,#N/A,FALSE,"QO";#N/A,#N/A,FALSE,"IV";#N/A,#N/A,FALSE,"DI";#N/A,#N/A,FALSE,"IC";#N/A,#N/A,FALSE,"PRODUIT";#N/A,#N/A,FALSE,"SYSTEME";#N/A,#N/A,FALSE,"GVN";#N/A,#N/A,FALSE,"EA";#N/A,#N/A,FALSE,"TI";#N/A,#N/A,FALSE,"LO";#N/A,#N/A,FALSE,"DCP";#N/A,#N/A,FALSE,"BOURSIER"}</definedName>
    <definedName name="wwx" hidden="1">{#N/A,#N/A,FALSE,"TOTAL";#N/A,#N/A,FALSE,"TI";#N/A,#N/A,FALSE,"DI";#N/A,#N/A,FALSE,"DN";#N/A,#N/A,FALSE,"EA";#N/A,#N/A,FALSE,"AL";#N/A,#N/A,FALSE,"GVN";#N/A,#N/A,FALSE,"qualité";#N/A,#N/A,FALSE,"achats";#N/A,#N/A,FALSE,"direction";#N/A,#N/A,FALSE,"IV";#N/A,#N/A,FALSE,"IC";#N/A,#N/A,FALSE,"Boursier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1" i="11" l="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10" i="11"/>
  <c r="K12" i="11" l="1"/>
  <c r="L12" i="11"/>
  <c r="M12" i="11"/>
  <c r="N12" i="11"/>
  <c r="K13" i="11"/>
  <c r="L13" i="11"/>
  <c r="M13" i="11"/>
  <c r="N13" i="11"/>
  <c r="K14" i="11"/>
  <c r="L14" i="11"/>
  <c r="M14" i="11"/>
  <c r="N14" i="11"/>
  <c r="K15" i="11"/>
  <c r="L15" i="11"/>
  <c r="M15" i="11"/>
  <c r="N15" i="11"/>
  <c r="K16" i="11"/>
  <c r="L16" i="11"/>
  <c r="M16" i="11"/>
  <c r="N16" i="11"/>
  <c r="K17" i="11"/>
  <c r="L17" i="11"/>
  <c r="M17" i="11"/>
  <c r="N17" i="11"/>
  <c r="K18" i="11"/>
  <c r="L18" i="11"/>
  <c r="M18" i="11"/>
  <c r="N18" i="11"/>
  <c r="K19" i="11"/>
  <c r="L19" i="11"/>
  <c r="M19" i="11"/>
  <c r="N19" i="11"/>
  <c r="K20" i="11"/>
  <c r="L20" i="11"/>
  <c r="M20" i="11"/>
  <c r="N20" i="11"/>
  <c r="K21" i="11"/>
  <c r="L21" i="11"/>
  <c r="M21" i="11"/>
  <c r="N21" i="11"/>
  <c r="K23" i="11"/>
  <c r="L23" i="11"/>
  <c r="M23" i="11"/>
  <c r="N23" i="11"/>
  <c r="K26" i="11"/>
  <c r="K28" i="11" s="1"/>
  <c r="L26" i="11"/>
  <c r="L28" i="11" s="1"/>
  <c r="M26" i="11"/>
  <c r="M28" i="11" s="1"/>
  <c r="N26" i="11"/>
  <c r="N28" i="11" s="1"/>
  <c r="K29" i="11"/>
  <c r="K30" i="11" s="1"/>
  <c r="L29" i="11"/>
  <c r="L30" i="11" s="1"/>
  <c r="M29" i="11"/>
  <c r="M30" i="11" s="1"/>
  <c r="N29" i="11"/>
  <c r="N30" i="11" s="1"/>
  <c r="J12" i="11"/>
  <c r="J13" i="11"/>
  <c r="J14" i="11"/>
  <c r="J15" i="11"/>
  <c r="J16" i="11"/>
  <c r="J17" i="11"/>
  <c r="J18" i="11"/>
  <c r="J19" i="11"/>
  <c r="J20" i="11"/>
  <c r="J21" i="11"/>
  <c r="J23" i="11"/>
  <c r="J26" i="11"/>
  <c r="J28" i="11" s="1"/>
  <c r="J29" i="11"/>
  <c r="J30" i="11"/>
  <c r="I29" i="11" l="1"/>
  <c r="I30" i="11" s="1"/>
  <c r="I28" i="11"/>
  <c r="I26" i="11"/>
  <c r="I23" i="11"/>
  <c r="I21" i="11"/>
  <c r="I20" i="11"/>
  <c r="I19" i="11"/>
  <c r="I18" i="11"/>
  <c r="I17" i="11"/>
  <c r="I16" i="11"/>
  <c r="I15" i="11"/>
  <c r="I14" i="11"/>
  <c r="I13" i="11"/>
  <c r="I12" i="11"/>
  <c r="H12" i="11" l="1"/>
  <c r="H13" i="11"/>
  <c r="H14" i="11"/>
  <c r="H15" i="11"/>
  <c r="H16" i="11"/>
  <c r="H17" i="11"/>
  <c r="H18" i="11"/>
  <c r="H19" i="11"/>
  <c r="H20" i="11"/>
  <c r="H21" i="11"/>
  <c r="H23" i="11"/>
  <c r="H26" i="11"/>
  <c r="H28" i="11" s="1"/>
  <c r="H29" i="11"/>
  <c r="H30" i="11" s="1"/>
  <c r="G12" i="11" l="1"/>
  <c r="G13" i="11"/>
  <c r="G14" i="11"/>
  <c r="G15" i="11"/>
  <c r="G16" i="11"/>
  <c r="G17" i="11"/>
  <c r="G18" i="11"/>
  <c r="G19" i="11"/>
  <c r="G20" i="11"/>
  <c r="G21" i="11"/>
  <c r="G23" i="11"/>
  <c r="G26" i="11"/>
  <c r="G28" i="11" s="1"/>
  <c r="G29" i="11"/>
  <c r="G30" i="11" s="1"/>
  <c r="F12" i="11"/>
  <c r="F13" i="11"/>
  <c r="F14" i="11"/>
  <c r="F15" i="11"/>
  <c r="F16" i="11"/>
  <c r="F17" i="11"/>
  <c r="F18" i="11"/>
  <c r="F19" i="11"/>
  <c r="F20" i="11"/>
  <c r="F21" i="11"/>
  <c r="F23" i="11"/>
  <c r="F26" i="11"/>
  <c r="F28" i="11" s="1"/>
  <c r="F29" i="11"/>
  <c r="F30" i="11"/>
  <c r="E26" i="11"/>
  <c r="E23" i="11"/>
  <c r="E20" i="11"/>
  <c r="E21" i="11"/>
  <c r="E13" i="11"/>
  <c r="E14" i="11"/>
  <c r="E15" i="11"/>
  <c r="E16" i="11"/>
  <c r="E17" i="11"/>
  <c r="E18" i="11"/>
  <c r="E19" i="11"/>
  <c r="E12" i="11"/>
  <c r="E29" i="11" l="1"/>
  <c r="E30" i="11" s="1"/>
  <c r="E28" i="11"/>
  <c r="Q16" i="11" l="1"/>
  <c r="Q23" i="11" l="1"/>
  <c r="Q21" i="11"/>
  <c r="Q32" i="11" l="1"/>
  <c r="Q13" i="11"/>
  <c r="Q14" i="11"/>
  <c r="Q15" i="11"/>
  <c r="Q17" i="11"/>
  <c r="Q18" i="11"/>
  <c r="Q19" i="11"/>
  <c r="Q20" i="11"/>
  <c r="Q22" i="11"/>
  <c r="Q11" i="11" l="1"/>
  <c r="Q24" i="11" l="1"/>
  <c r="Q25" i="11"/>
  <c r="Q26" i="11"/>
  <c r="Q27" i="11"/>
  <c r="Q28" i="11"/>
  <c r="Q10" i="11" l="1"/>
  <c r="Q12" i="11"/>
  <c r="Q29" i="11"/>
  <c r="Q30" i="11"/>
  <c r="Q31" i="11"/>
</calcChain>
</file>

<file path=xl/sharedStrings.xml><?xml version="1.0" encoding="utf-8"?>
<sst xmlns="http://schemas.openxmlformats.org/spreadsheetml/2006/main" count="94" uniqueCount="75">
  <si>
    <t>Part Number</t>
  </si>
  <si>
    <t>Description</t>
  </si>
  <si>
    <t>Partlist</t>
  </si>
  <si>
    <t xml:space="preserve">Project: </t>
  </si>
  <si>
    <t xml:space="preserve">Version: </t>
  </si>
  <si>
    <t xml:space="preserve">Date: </t>
  </si>
  <si>
    <t>No.:</t>
  </si>
  <si>
    <t>Item</t>
  </si>
  <si>
    <t>quantity</t>
  </si>
  <si>
    <t>spare-
parts</t>
  </si>
  <si>
    <t>total
quantity</t>
  </si>
  <si>
    <t>comment</t>
  </si>
  <si>
    <t>3BU828010028</t>
  </si>
  <si>
    <t>Switchable Eurobalise Alstom</t>
  </si>
  <si>
    <t>Splice box / GAK /KV-G95 schwarz</t>
  </si>
  <si>
    <t>3BU151100915  </t>
  </si>
  <si>
    <t>Erdspieß für Splice box  450mm (ab Sec 2)</t>
  </si>
  <si>
    <t>3BU151100935</t>
  </si>
  <si>
    <t>Panasonic Toughbook CF-20A0205T2  Englische Tastatur</t>
  </si>
  <si>
    <t>ETCS-TSS-LEU</t>
  </si>
  <si>
    <t>ETCS-TSS-BALISES</t>
  </si>
  <si>
    <t>ETCS-TSS-OTHER</t>
  </si>
  <si>
    <t>ETCS-IT</t>
  </si>
  <si>
    <t>LEU Aussencabinet</t>
  </si>
  <si>
    <t>Westermo switch</t>
  </si>
  <si>
    <t xml:space="preserve">3BU15128AAAA </t>
  </si>
  <si>
    <t>Connection Kit for Switch</t>
  </si>
  <si>
    <t>3BU83010AAAA</t>
  </si>
  <si>
    <t>Power supply 230V</t>
  </si>
  <si>
    <t>3BU83081AAAA</t>
  </si>
  <si>
    <t>Connection Kit for 1x FS-PSU</t>
  </si>
  <si>
    <t>3BU83080AAAA</t>
  </si>
  <si>
    <t>FS-CPU</t>
  </si>
  <si>
    <t>3BU83011AAAA</t>
  </si>
  <si>
    <t>FS-6LCS</t>
  </si>
  <si>
    <t>3BU83031AAAA</t>
  </si>
  <si>
    <t>3BU83030AAAA</t>
  </si>
  <si>
    <t>Connection Kit for FS-6LCS/-6HCS</t>
  </si>
  <si>
    <t>FS-2C</t>
  </si>
  <si>
    <t>3BU83021AAAA</t>
  </si>
  <si>
    <t>3BU83020AAAA</t>
  </si>
  <si>
    <t>Connection Kit for FS-2C/-1C1CL</t>
  </si>
  <si>
    <t>Indoor cabinet</t>
  </si>
  <si>
    <t>SFP transceiver 155MBit A w.DDMI/Singlemode/LC/duplex/-40°+85°C</t>
  </si>
  <si>
    <t>3BU151270004</t>
  </si>
  <si>
    <t>3BU151270005</t>
  </si>
  <si>
    <t>DIN rail bus connector</t>
  </si>
  <si>
    <t>3BU 832000001</t>
  </si>
  <si>
    <t>B73A.000026</t>
  </si>
  <si>
    <t>B73A.0100019</t>
  </si>
  <si>
    <r>
      <t>Balisenkabel 10m mit Stecker</t>
    </r>
    <r>
      <rPr>
        <sz val="10"/>
        <color indexed="10"/>
        <rFont val="Calibri"/>
        <family val="2"/>
      </rPr>
      <t xml:space="preserve"> </t>
    </r>
  </si>
  <si>
    <t>74I.000059</t>
  </si>
  <si>
    <t>Balise mounting kit incl Support</t>
  </si>
  <si>
    <t>B73E.0100013.D02.00IT</t>
  </si>
  <si>
    <t>SFP transceiver 155MBit B w.DDMI/Singlemode/LC/duplex/-40°+85°C</t>
  </si>
  <si>
    <t>Balise programming tool BPT 2G</t>
  </si>
  <si>
    <t>B76A.000090</t>
  </si>
  <si>
    <t>--</t>
  </si>
  <si>
    <t>Indoor cabinet LMD/TSR</t>
  </si>
  <si>
    <t xml:space="preserve">Fixed Eurobalise </t>
  </si>
  <si>
    <t>3BU 80250BEAA</t>
  </si>
  <si>
    <t>Phase 1</t>
  </si>
  <si>
    <t>---</t>
  </si>
  <si>
    <t>Sourced locally</t>
  </si>
  <si>
    <t>Phase 2</t>
  </si>
  <si>
    <t>Phase 1.1</t>
  </si>
  <si>
    <t>Ireland</t>
  </si>
  <si>
    <t>V2</t>
  </si>
  <si>
    <t>Phase 3</t>
  </si>
  <si>
    <t>Phase 4</t>
  </si>
  <si>
    <t>Phase 5</t>
  </si>
  <si>
    <t>Phase 6</t>
  </si>
  <si>
    <t>Phase 7</t>
  </si>
  <si>
    <t>Phase 8</t>
  </si>
  <si>
    <t>Phase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</si>
</sst>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€&quot;\ #,##0.00;[Red]\-&quot;€&quot;\ #,##0.00"/>
    <numFmt numFmtId="166" formatCode="dd/m/yyyy;@"/>
    <numFmt numFmtId="167" formatCode="#,##0.00_ ;[Red]\-#,##0.00\ "/>
  </numFmts>
  <fonts count="12" x14ac:knownFonts="1">
    <font>
      <sz val="10"/>
      <name val="Arial"/>
      <family val="2"/>
    </font>
    <font>
      <sz val="10"/>
      <name val="Arial"/>
      <family val="2"/>
    </font>
    <font>
      <sz val="11"/>
      <color indexed="8"/>
      <name val="Arial"/>
      <family val="2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rgb="FF0070C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0"/>
      <name val="Calibri"/>
      <family val="2"/>
    </font>
    <font>
      <sz val="10"/>
      <color indexed="10"/>
      <name val="Calibri"/>
      <family val="2"/>
    </font>
    <font>
      <sz val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0" fontId="1" fillId="0" borderId="0"/>
  </cellStyleXfs>
  <cellXfs count="49">
    <xf numFmtId="0" fontId="0" fillId="0" borderId="0" xfId="0"/>
    <xf numFmtId="0" fontId="0" fillId="0" borderId="0" xfId="0" applyAlignment="1">
      <alignment wrapText="1"/>
    </xf>
    <xf numFmtId="0" fontId="3" fillId="0" borderId="3" xfId="0" applyFont="1" applyBorder="1" applyProtection="1">
      <protection locked="0"/>
    </xf>
    <xf numFmtId="0" fontId="3" fillId="0" borderId="3" xfId="0" applyFont="1" applyBorder="1" applyAlignment="1" applyProtection="1">
      <alignment horizontal="left" wrapText="1"/>
      <protection locked="0"/>
    </xf>
    <xf numFmtId="0" fontId="3" fillId="0" borderId="5" xfId="0" applyFont="1" applyBorder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0" fontId="6" fillId="0" borderId="0" xfId="0" applyFont="1" applyAlignment="1" applyProtection="1">
      <alignment horizontal="center"/>
      <protection locked="0"/>
    </xf>
    <xf numFmtId="4" fontId="7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right"/>
      <protection locked="0"/>
    </xf>
    <xf numFmtId="166" fontId="4" fillId="0" borderId="0" xfId="0" applyNumberFormat="1" applyFont="1" applyProtection="1">
      <protection locked="0"/>
    </xf>
    <xf numFmtId="0" fontId="3" fillId="0" borderId="0" xfId="0" applyFont="1"/>
    <xf numFmtId="0" fontId="4" fillId="0" borderId="0" xfId="0" applyFont="1" applyAlignment="1" applyProtection="1">
      <alignment horizontal="left"/>
      <protection locked="0"/>
    </xf>
    <xf numFmtId="0" fontId="4" fillId="0" borderId="0" xfId="0" applyFont="1" applyAlignment="1">
      <alignment horizontal="left"/>
    </xf>
    <xf numFmtId="0" fontId="4" fillId="0" borderId="0" xfId="0" applyFont="1" applyAlignment="1" applyProtection="1">
      <alignment horizontal="center"/>
      <protection locked="0"/>
    </xf>
    <xf numFmtId="0" fontId="3" fillId="0" borderId="0" xfId="0" applyFont="1" applyAlignment="1">
      <alignment horizontal="center"/>
    </xf>
    <xf numFmtId="4" fontId="8" fillId="0" borderId="0" xfId="0" applyNumberFormat="1" applyFont="1" applyAlignment="1" applyProtection="1">
      <alignment horizontal="center"/>
      <protection locked="0"/>
    </xf>
    <xf numFmtId="8" fontId="8" fillId="0" borderId="0" xfId="0" applyNumberFormat="1" applyFont="1" applyAlignment="1" applyProtection="1">
      <alignment horizontal="center" vertical="center" wrapText="1"/>
      <protection locked="0"/>
    </xf>
    <xf numFmtId="167" fontId="8" fillId="0" borderId="0" xfId="0" applyNumberFormat="1" applyFont="1" applyAlignment="1" applyProtection="1">
      <alignment horizontal="left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right" vertical="center"/>
      <protection locked="0"/>
    </xf>
    <xf numFmtId="0" fontId="3" fillId="0" borderId="0" xfId="0" applyFont="1" applyAlignment="1">
      <alignment horizontal="left"/>
    </xf>
    <xf numFmtId="0" fontId="3" fillId="0" borderId="0" xfId="0" applyFont="1" applyAlignment="1" applyProtection="1">
      <alignment horizontal="center"/>
      <protection locked="0"/>
    </xf>
    <xf numFmtId="3" fontId="8" fillId="0" borderId="0" xfId="0" applyNumberFormat="1" applyFont="1" applyAlignment="1" applyProtection="1">
      <alignment horizontal="center"/>
      <protection locked="0"/>
    </xf>
    <xf numFmtId="14" fontId="3" fillId="0" borderId="0" xfId="0" applyNumberFormat="1" applyFont="1" applyAlignment="1">
      <alignment horizontal="left"/>
    </xf>
    <xf numFmtId="0" fontId="4" fillId="0" borderId="0" xfId="0" applyFont="1" applyProtection="1">
      <protection locked="0"/>
    </xf>
    <xf numFmtId="4" fontId="4" fillId="0" borderId="0" xfId="0" applyNumberFormat="1" applyFont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wrapText="1"/>
      <protection locked="0"/>
    </xf>
    <xf numFmtId="1" fontId="4" fillId="0" borderId="2" xfId="0" applyNumberFormat="1" applyFont="1" applyBorder="1" applyAlignment="1" applyProtection="1">
      <alignment horizontal="center" wrapText="1"/>
      <protection locked="0"/>
    </xf>
    <xf numFmtId="0" fontId="4" fillId="0" borderId="6" xfId="0" applyFont="1" applyBorder="1" applyAlignment="1" applyProtection="1">
      <alignment horizontal="center" wrapText="1"/>
      <protection locked="0"/>
    </xf>
    <xf numFmtId="0" fontId="3" fillId="0" borderId="3" xfId="0" applyFont="1" applyBorder="1" applyAlignment="1" applyProtection="1">
      <alignment horizontal="center"/>
      <protection locked="0"/>
    </xf>
    <xf numFmtId="0" fontId="3" fillId="0" borderId="4" xfId="0" applyFont="1" applyBorder="1" applyAlignment="1" applyProtection="1">
      <alignment horizontal="left" wrapText="1"/>
      <protection locked="0"/>
    </xf>
    <xf numFmtId="3" fontId="3" fillId="0" borderId="3" xfId="0" applyNumberFormat="1" applyFont="1" applyBorder="1" applyProtection="1">
      <protection locked="0"/>
    </xf>
    <xf numFmtId="1" fontId="3" fillId="0" borderId="3" xfId="0" applyNumberFormat="1" applyFont="1" applyBorder="1"/>
    <xf numFmtId="1" fontId="3" fillId="0" borderId="7" xfId="0" applyNumberFormat="1" applyFont="1" applyBorder="1"/>
    <xf numFmtId="4" fontId="3" fillId="0" borderId="0" xfId="0" applyNumberFormat="1" applyFont="1" applyAlignment="1">
      <alignment horizontal="center"/>
    </xf>
    <xf numFmtId="0" fontId="3" fillId="0" borderId="3" xfId="0" applyFont="1" applyBorder="1" applyAlignment="1" applyProtection="1">
      <alignment wrapText="1"/>
      <protection locked="0"/>
    </xf>
    <xf numFmtId="0" fontId="3" fillId="0" borderId="3" xfId="0" quotePrefix="1" applyFont="1" applyBorder="1" applyAlignment="1" applyProtection="1">
      <alignment horizontal="center"/>
      <protection locked="0"/>
    </xf>
    <xf numFmtId="0" fontId="3" fillId="3" borderId="5" xfId="0" applyFont="1" applyFill="1" applyBorder="1" applyProtection="1">
      <protection locked="0"/>
    </xf>
    <xf numFmtId="0" fontId="3" fillId="3" borderId="3" xfId="0" applyFont="1" applyFill="1" applyBorder="1" applyProtection="1">
      <protection locked="0"/>
    </xf>
    <xf numFmtId="0" fontId="3" fillId="3" borderId="3" xfId="0" applyFont="1" applyFill="1" applyBorder="1" applyAlignment="1" applyProtection="1">
      <alignment horizontal="left" wrapText="1"/>
      <protection locked="0"/>
    </xf>
    <xf numFmtId="0" fontId="3" fillId="3" borderId="3" xfId="0" applyFont="1" applyFill="1" applyBorder="1" applyAlignment="1" applyProtection="1">
      <alignment horizontal="center"/>
      <protection locked="0"/>
    </xf>
    <xf numFmtId="3" fontId="3" fillId="3" borderId="3" xfId="0" applyNumberFormat="1" applyFont="1" applyFill="1" applyBorder="1" applyProtection="1">
      <protection locked="0"/>
    </xf>
    <xf numFmtId="1" fontId="3" fillId="3" borderId="3" xfId="0" applyNumberFormat="1" applyFont="1" applyFill="1" applyBorder="1"/>
    <xf numFmtId="1" fontId="3" fillId="3" borderId="7" xfId="0" applyNumberFormat="1" applyFont="1" applyFill="1" applyBorder="1"/>
    <xf numFmtId="0" fontId="3" fillId="3" borderId="4" xfId="0" applyFont="1" applyFill="1" applyBorder="1" applyAlignment="1" applyProtection="1">
      <alignment horizontal="left" wrapText="1"/>
      <protection locked="0"/>
    </xf>
    <xf numFmtId="0" fontId="0" fillId="0" borderId="0" xfId="0" applyAlignment="1">
      <alignment horizontal="center"/>
    </xf>
    <xf numFmtId="0" fontId="3" fillId="2" borderId="3" xfId="0" applyFont="1" applyFill="1" applyBorder="1" applyAlignment="1" applyProtection="1">
      <alignment horizontal="center"/>
      <protection locked="0"/>
    </xf>
  </cellXfs>
  <cellStyles count="4">
    <cellStyle name="Normal" xfId="0" builtinId="0"/>
    <cellStyle name="Normal 2" xfId="1" xr:uid="{00000000-0005-0000-0000-000001000000}"/>
    <cellStyle name="Normal 3 2" xfId="2" xr:uid="{00000000-0005-0000-0000-000002000000}"/>
    <cellStyle name="Standard 2" xfId="3" xr:uid="{DA9A1576-108F-4D49-9336-520E6918094C}"/>
  </cellStyles>
  <dxfs count="0"/>
  <tableStyles count="0" defaultTableStyle="TableStyleMedium2" defaultPivotStyle="PivotStyleLight16"/>
  <colors>
    <mruColors>
      <color rgb="FFCC99FF"/>
      <color rgb="FFFFFFCC"/>
      <color rgb="FF66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2_OFERTAS\4_Varios_Docs\2_Personal\LIYA\87200152-ACQ-GRP-EN-014%20Procurement%20Summary%20Sheet%20-%20Procurement%20Executive%20Summar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ad Me"/>
      <sheetName val="Template change log &amp; approval"/>
      <sheetName val="Procurement Summary Sheet"/>
      <sheetName val="Procurement Executive Summary"/>
      <sheetName val="Extended PES-1"/>
      <sheetName val="Extended PES-2"/>
      <sheetName val="Procurement Category"/>
      <sheetName val="DB graph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F1AD-381B-4F65-9E61-73468A1ED8DC}">
  <sheetPr>
    <pageSetUpPr fitToPage="1"/>
  </sheetPr>
  <dimension ref="A1:R41"/>
  <sheetViews>
    <sheetView tabSelected="1" topLeftCell="D8" zoomScaleNormal="100" workbookViewId="0">
      <selection activeCell="P10" sqref="P10:P31"/>
    </sheetView>
  </sheetViews>
  <sheetFormatPr defaultColWidth="11.42578125" defaultRowHeight="12.75" x14ac:dyDescent="0.2"/>
  <cols>
    <col min="1" max="1" width="10.140625" bestFit="1" customWidth="1"/>
    <col min="2" max="2" width="19.85546875" customWidth="1"/>
    <col min="3" max="3" width="26.42578125" customWidth="1"/>
    <col min="4" max="14" width="21.42578125" customWidth="1"/>
    <col min="15" max="15" width="6.7109375" customWidth="1"/>
    <col min="16" max="16" width="7" customWidth="1"/>
    <col min="17" max="17" width="9.42578125" customWidth="1"/>
    <col min="18" max="18" width="60" customWidth="1"/>
    <col min="19" max="19" width="7.140625" customWidth="1"/>
  </cols>
  <sheetData>
    <row r="1" spans="1:18" s="10" customFormat="1" ht="21" x14ac:dyDescent="0.35">
      <c r="A1" s="5" t="s">
        <v>2</v>
      </c>
      <c r="B1" s="5"/>
      <c r="C1" s="5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7"/>
      <c r="P1" s="8"/>
      <c r="Q1" s="9"/>
    </row>
    <row r="2" spans="1:18" s="10" customFormat="1" ht="15.75" x14ac:dyDescent="0.25">
      <c r="A2" s="11" t="s">
        <v>3</v>
      </c>
      <c r="B2" s="8"/>
      <c r="C2" s="12" t="s">
        <v>66</v>
      </c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5"/>
      <c r="P2" s="16"/>
      <c r="Q2" s="17"/>
    </row>
    <row r="3" spans="1:18" s="10" customFormat="1" ht="15.75" x14ac:dyDescent="0.25">
      <c r="A3" s="18" t="s">
        <v>4</v>
      </c>
      <c r="B3" s="19"/>
      <c r="C3" s="20" t="s">
        <v>67</v>
      </c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2"/>
      <c r="P3" s="16"/>
      <c r="Q3" s="17"/>
    </row>
    <row r="4" spans="1:18" s="10" customFormat="1" ht="15.75" x14ac:dyDescent="0.25">
      <c r="A4" s="18"/>
      <c r="B4" s="19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2"/>
      <c r="P4" s="16"/>
      <c r="Q4" s="17"/>
    </row>
    <row r="5" spans="1:18" s="10" customFormat="1" ht="15.75" x14ac:dyDescent="0.25">
      <c r="A5" s="18"/>
      <c r="B5" s="19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2"/>
      <c r="P5" s="16"/>
      <c r="Q5" s="17"/>
    </row>
    <row r="6" spans="1:18" s="10" customFormat="1" ht="15.75" x14ac:dyDescent="0.25">
      <c r="A6" s="18" t="s">
        <v>5</v>
      </c>
      <c r="B6" s="19"/>
      <c r="C6" s="23">
        <v>46262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2"/>
      <c r="P6" s="16"/>
      <c r="Q6" s="17"/>
    </row>
    <row r="7" spans="1:18" s="10" customFormat="1" ht="9" customHeight="1" thickBot="1" x14ac:dyDescent="0.3">
      <c r="A7" s="13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5"/>
      <c r="P7" s="11"/>
      <c r="Q7" s="24"/>
    </row>
    <row r="8" spans="1:18" s="10" customFormat="1" ht="32.25" thickBot="1" x14ac:dyDescent="0.3">
      <c r="A8" s="26" t="s">
        <v>6</v>
      </c>
      <c r="B8" s="27" t="s">
        <v>1</v>
      </c>
      <c r="C8" s="27" t="s">
        <v>7</v>
      </c>
      <c r="D8" s="27" t="s">
        <v>0</v>
      </c>
      <c r="E8" s="27" t="s">
        <v>61</v>
      </c>
      <c r="F8" s="27" t="s">
        <v>65</v>
      </c>
      <c r="G8" s="27" t="s">
        <v>64</v>
      </c>
      <c r="H8" s="27" t="s">
        <v>68</v>
      </c>
      <c r="I8" s="27" t="s">
        <v>69</v>
      </c>
      <c r="J8" s="27" t="s">
        <v>70</v>
      </c>
      <c r="K8" s="27" t="s">
        <v>71</v>
      </c>
      <c r="L8" s="27" t="s">
        <v>72</v>
      </c>
      <c r="M8" s="27" t="s">
        <v>73</v>
      </c>
      <c r="N8" s="27" t="s">
        <v>74</v>
      </c>
      <c r="O8" s="28" t="s">
        <v>8</v>
      </c>
      <c r="P8" s="29" t="s">
        <v>9</v>
      </c>
      <c r="Q8" s="30" t="s">
        <v>10</v>
      </c>
      <c r="R8" s="30" t="s">
        <v>11</v>
      </c>
    </row>
    <row r="9" spans="1:18" s="10" customFormat="1" x14ac:dyDescent="0.2">
      <c r="A9" s="4"/>
      <c r="B9" s="2"/>
      <c r="C9" s="3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3"/>
      <c r="P9" s="34"/>
      <c r="Q9" s="35"/>
      <c r="R9" s="32"/>
    </row>
    <row r="10" spans="1:18" s="10" customFormat="1" x14ac:dyDescent="0.2">
      <c r="A10" s="4">
        <v>100</v>
      </c>
      <c r="B10" s="2" t="s">
        <v>19</v>
      </c>
      <c r="C10" s="2" t="s">
        <v>23</v>
      </c>
      <c r="D10" s="38" t="s">
        <v>62</v>
      </c>
      <c r="E10" s="31">
        <v>86</v>
      </c>
      <c r="F10" s="31">
        <v>7</v>
      </c>
      <c r="G10" s="31">
        <v>92</v>
      </c>
      <c r="H10" s="31">
        <v>102</v>
      </c>
      <c r="I10" s="31">
        <v>116</v>
      </c>
      <c r="J10" s="31">
        <v>52</v>
      </c>
      <c r="K10" s="31">
        <v>78</v>
      </c>
      <c r="L10" s="31">
        <v>57</v>
      </c>
      <c r="M10" s="31">
        <v>15</v>
      </c>
      <c r="N10" s="31">
        <v>161</v>
      </c>
      <c r="O10" s="33">
        <f>SUM(E10:N10)</f>
        <v>766</v>
      </c>
      <c r="P10" s="34">
        <f>O10*0.1</f>
        <v>76.600000000000009</v>
      </c>
      <c r="Q10" s="35">
        <f t="shared" ref="Q10:Q29" si="0">P10+O10</f>
        <v>842.6</v>
      </c>
      <c r="R10" s="32" t="s">
        <v>63</v>
      </c>
    </row>
    <row r="11" spans="1:18" s="10" customFormat="1" x14ac:dyDescent="0.2">
      <c r="A11" s="4">
        <v>103</v>
      </c>
      <c r="B11" s="2" t="s">
        <v>19</v>
      </c>
      <c r="C11" s="2" t="s">
        <v>42</v>
      </c>
      <c r="D11" s="38" t="s">
        <v>57</v>
      </c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3">
        <f t="shared" ref="O11:O31" si="1">SUM(E11:N11)</f>
        <v>0</v>
      </c>
      <c r="P11" s="34">
        <f t="shared" ref="P11:P31" si="2">O11*0.1</f>
        <v>0</v>
      </c>
      <c r="Q11" s="35">
        <f t="shared" ref="Q11" si="3">P11+O11</f>
        <v>0</v>
      </c>
      <c r="R11" s="32"/>
    </row>
    <row r="12" spans="1:18" s="10" customFormat="1" ht="12" customHeight="1" x14ac:dyDescent="0.2">
      <c r="A12" s="39">
        <v>104</v>
      </c>
      <c r="B12" s="40" t="s">
        <v>19</v>
      </c>
      <c r="C12" s="41" t="s">
        <v>24</v>
      </c>
      <c r="D12" s="42" t="s">
        <v>25</v>
      </c>
      <c r="E12" s="42">
        <f>E$10</f>
        <v>86</v>
      </c>
      <c r="F12" s="42">
        <f>F$10</f>
        <v>7</v>
      </c>
      <c r="G12" s="42">
        <f>G$10</f>
        <v>92</v>
      </c>
      <c r="H12" s="42">
        <f>H$10</f>
        <v>102</v>
      </c>
      <c r="I12" s="42">
        <f>I$10</f>
        <v>116</v>
      </c>
      <c r="J12" s="42">
        <f>J$10</f>
        <v>52</v>
      </c>
      <c r="K12" s="42">
        <f t="shared" ref="K12:N12" si="4">K$10</f>
        <v>78</v>
      </c>
      <c r="L12" s="42">
        <f t="shared" si="4"/>
        <v>57</v>
      </c>
      <c r="M12" s="42">
        <f t="shared" si="4"/>
        <v>15</v>
      </c>
      <c r="N12" s="42">
        <f t="shared" si="4"/>
        <v>161</v>
      </c>
      <c r="O12" s="33">
        <f t="shared" si="1"/>
        <v>766</v>
      </c>
      <c r="P12" s="34">
        <f t="shared" si="2"/>
        <v>76.600000000000009</v>
      </c>
      <c r="Q12" s="45">
        <f t="shared" si="0"/>
        <v>842.6</v>
      </c>
      <c r="R12" s="46"/>
    </row>
    <row r="13" spans="1:18" s="10" customFormat="1" ht="12" customHeight="1" x14ac:dyDescent="0.2">
      <c r="A13" s="39">
        <v>105</v>
      </c>
      <c r="B13" s="40" t="s">
        <v>19</v>
      </c>
      <c r="C13" s="41" t="s">
        <v>43</v>
      </c>
      <c r="D13" s="42" t="s">
        <v>44</v>
      </c>
      <c r="E13" s="42">
        <f t="shared" ref="E13:N21" si="5">E$10</f>
        <v>86</v>
      </c>
      <c r="F13" s="42">
        <f t="shared" si="5"/>
        <v>7</v>
      </c>
      <c r="G13" s="42">
        <f t="shared" si="5"/>
        <v>92</v>
      </c>
      <c r="H13" s="42">
        <f t="shared" si="5"/>
        <v>102</v>
      </c>
      <c r="I13" s="42">
        <f t="shared" si="5"/>
        <v>116</v>
      </c>
      <c r="J13" s="42">
        <f t="shared" si="5"/>
        <v>52</v>
      </c>
      <c r="K13" s="42">
        <f t="shared" si="5"/>
        <v>78</v>
      </c>
      <c r="L13" s="42">
        <f t="shared" si="5"/>
        <v>57</v>
      </c>
      <c r="M13" s="42">
        <f t="shared" si="5"/>
        <v>15</v>
      </c>
      <c r="N13" s="42">
        <f t="shared" si="5"/>
        <v>161</v>
      </c>
      <c r="O13" s="33">
        <f t="shared" si="1"/>
        <v>766</v>
      </c>
      <c r="P13" s="34">
        <f t="shared" si="2"/>
        <v>76.600000000000009</v>
      </c>
      <c r="Q13" s="45">
        <f t="shared" si="0"/>
        <v>842.6</v>
      </c>
      <c r="R13" s="46"/>
    </row>
    <row r="14" spans="1:18" s="10" customFormat="1" ht="12" customHeight="1" x14ac:dyDescent="0.2">
      <c r="A14" s="39">
        <v>106</v>
      </c>
      <c r="B14" s="40" t="s">
        <v>19</v>
      </c>
      <c r="C14" s="41" t="s">
        <v>54</v>
      </c>
      <c r="D14" s="42" t="s">
        <v>45</v>
      </c>
      <c r="E14" s="42">
        <f t="shared" si="5"/>
        <v>86</v>
      </c>
      <c r="F14" s="42">
        <f t="shared" si="5"/>
        <v>7</v>
      </c>
      <c r="G14" s="42">
        <f t="shared" si="5"/>
        <v>92</v>
      </c>
      <c r="H14" s="42">
        <f t="shared" si="5"/>
        <v>102</v>
      </c>
      <c r="I14" s="42">
        <f t="shared" si="5"/>
        <v>116</v>
      </c>
      <c r="J14" s="42">
        <f t="shared" si="5"/>
        <v>52</v>
      </c>
      <c r="K14" s="42">
        <f t="shared" si="5"/>
        <v>78</v>
      </c>
      <c r="L14" s="42">
        <f t="shared" si="5"/>
        <v>57</v>
      </c>
      <c r="M14" s="42">
        <f t="shared" si="5"/>
        <v>15</v>
      </c>
      <c r="N14" s="42">
        <f t="shared" si="5"/>
        <v>161</v>
      </c>
      <c r="O14" s="33">
        <f t="shared" si="1"/>
        <v>766</v>
      </c>
      <c r="P14" s="34">
        <f t="shared" si="2"/>
        <v>76.600000000000009</v>
      </c>
      <c r="Q14" s="45">
        <f t="shared" si="0"/>
        <v>842.6</v>
      </c>
      <c r="R14" s="46"/>
    </row>
    <row r="15" spans="1:18" s="10" customFormat="1" x14ac:dyDescent="0.2">
      <c r="A15" s="39">
        <v>107</v>
      </c>
      <c r="B15" s="40" t="s">
        <v>19</v>
      </c>
      <c r="C15" s="41" t="s">
        <v>26</v>
      </c>
      <c r="D15" s="42" t="s">
        <v>27</v>
      </c>
      <c r="E15" s="42">
        <f t="shared" si="5"/>
        <v>86</v>
      </c>
      <c r="F15" s="42">
        <f t="shared" si="5"/>
        <v>7</v>
      </c>
      <c r="G15" s="42">
        <f t="shared" si="5"/>
        <v>92</v>
      </c>
      <c r="H15" s="42">
        <f t="shared" si="5"/>
        <v>102</v>
      </c>
      <c r="I15" s="42">
        <f t="shared" si="5"/>
        <v>116</v>
      </c>
      <c r="J15" s="42">
        <f t="shared" si="5"/>
        <v>52</v>
      </c>
      <c r="K15" s="42">
        <f t="shared" si="5"/>
        <v>78</v>
      </c>
      <c r="L15" s="42">
        <f t="shared" si="5"/>
        <v>57</v>
      </c>
      <c r="M15" s="42">
        <f t="shared" si="5"/>
        <v>15</v>
      </c>
      <c r="N15" s="42">
        <f t="shared" si="5"/>
        <v>161</v>
      </c>
      <c r="O15" s="33">
        <f t="shared" si="1"/>
        <v>766</v>
      </c>
      <c r="P15" s="34">
        <f t="shared" si="2"/>
        <v>76.600000000000009</v>
      </c>
      <c r="Q15" s="45">
        <f t="shared" si="0"/>
        <v>842.6</v>
      </c>
      <c r="R15" s="46"/>
    </row>
    <row r="16" spans="1:18" s="10" customFormat="1" x14ac:dyDescent="0.2">
      <c r="A16" s="4">
        <v>108</v>
      </c>
      <c r="B16" s="2" t="s">
        <v>19</v>
      </c>
      <c r="C16" s="3" t="s">
        <v>46</v>
      </c>
      <c r="D16" s="31" t="s">
        <v>47</v>
      </c>
      <c r="E16" s="48">
        <f t="shared" si="5"/>
        <v>86</v>
      </c>
      <c r="F16" s="48">
        <f t="shared" si="5"/>
        <v>7</v>
      </c>
      <c r="G16" s="48">
        <f t="shared" si="5"/>
        <v>92</v>
      </c>
      <c r="H16" s="48">
        <f t="shared" si="5"/>
        <v>102</v>
      </c>
      <c r="I16" s="48">
        <f t="shared" si="5"/>
        <v>116</v>
      </c>
      <c r="J16" s="48">
        <f t="shared" si="5"/>
        <v>52</v>
      </c>
      <c r="K16" s="48">
        <f t="shared" si="5"/>
        <v>78</v>
      </c>
      <c r="L16" s="48">
        <f t="shared" si="5"/>
        <v>57</v>
      </c>
      <c r="M16" s="48">
        <f t="shared" si="5"/>
        <v>15</v>
      </c>
      <c r="N16" s="48">
        <f t="shared" si="5"/>
        <v>161</v>
      </c>
      <c r="O16" s="33">
        <f t="shared" si="1"/>
        <v>766</v>
      </c>
      <c r="P16" s="34">
        <f t="shared" si="2"/>
        <v>76.600000000000009</v>
      </c>
      <c r="Q16" s="35">
        <f t="shared" si="0"/>
        <v>842.6</v>
      </c>
      <c r="R16" s="32"/>
    </row>
    <row r="17" spans="1:18" s="10" customFormat="1" x14ac:dyDescent="0.2">
      <c r="A17" s="4">
        <v>109</v>
      </c>
      <c r="B17" s="2" t="s">
        <v>19</v>
      </c>
      <c r="C17" s="3" t="s">
        <v>28</v>
      </c>
      <c r="D17" s="31" t="s">
        <v>29</v>
      </c>
      <c r="E17" s="48">
        <f t="shared" si="5"/>
        <v>86</v>
      </c>
      <c r="F17" s="48">
        <f t="shared" si="5"/>
        <v>7</v>
      </c>
      <c r="G17" s="48">
        <f t="shared" si="5"/>
        <v>92</v>
      </c>
      <c r="H17" s="48">
        <f t="shared" si="5"/>
        <v>102</v>
      </c>
      <c r="I17" s="48">
        <f t="shared" si="5"/>
        <v>116</v>
      </c>
      <c r="J17" s="48">
        <f t="shared" si="5"/>
        <v>52</v>
      </c>
      <c r="K17" s="48">
        <f t="shared" si="5"/>
        <v>78</v>
      </c>
      <c r="L17" s="48">
        <f t="shared" si="5"/>
        <v>57</v>
      </c>
      <c r="M17" s="48">
        <f t="shared" si="5"/>
        <v>15</v>
      </c>
      <c r="N17" s="48">
        <f t="shared" si="5"/>
        <v>161</v>
      </c>
      <c r="O17" s="33">
        <f t="shared" si="1"/>
        <v>766</v>
      </c>
      <c r="P17" s="34">
        <f t="shared" si="2"/>
        <v>76.600000000000009</v>
      </c>
      <c r="Q17" s="35">
        <f t="shared" si="0"/>
        <v>842.6</v>
      </c>
      <c r="R17" s="32"/>
    </row>
    <row r="18" spans="1:18" s="10" customFormat="1" x14ac:dyDescent="0.2">
      <c r="A18" s="4">
        <v>110</v>
      </c>
      <c r="B18" s="2" t="s">
        <v>19</v>
      </c>
      <c r="C18" s="3" t="s">
        <v>30</v>
      </c>
      <c r="D18" s="31" t="s">
        <v>31</v>
      </c>
      <c r="E18" s="48">
        <f t="shared" si="5"/>
        <v>86</v>
      </c>
      <c r="F18" s="48">
        <f t="shared" si="5"/>
        <v>7</v>
      </c>
      <c r="G18" s="48">
        <f t="shared" si="5"/>
        <v>92</v>
      </c>
      <c r="H18" s="48">
        <f t="shared" si="5"/>
        <v>102</v>
      </c>
      <c r="I18" s="48">
        <f t="shared" si="5"/>
        <v>116</v>
      </c>
      <c r="J18" s="48">
        <f t="shared" si="5"/>
        <v>52</v>
      </c>
      <c r="K18" s="48">
        <f t="shared" si="5"/>
        <v>78</v>
      </c>
      <c r="L18" s="48">
        <f t="shared" si="5"/>
        <v>57</v>
      </c>
      <c r="M18" s="48">
        <f t="shared" si="5"/>
        <v>15</v>
      </c>
      <c r="N18" s="48">
        <f t="shared" si="5"/>
        <v>161</v>
      </c>
      <c r="O18" s="33">
        <f t="shared" si="1"/>
        <v>766</v>
      </c>
      <c r="P18" s="34">
        <f t="shared" si="2"/>
        <v>76.600000000000009</v>
      </c>
      <c r="Q18" s="35">
        <f t="shared" si="0"/>
        <v>842.6</v>
      </c>
      <c r="R18" s="32"/>
    </row>
    <row r="19" spans="1:18" s="10" customFormat="1" x14ac:dyDescent="0.2">
      <c r="A19" s="4">
        <v>111</v>
      </c>
      <c r="B19" s="2" t="s">
        <v>19</v>
      </c>
      <c r="C19" s="3" t="s">
        <v>32</v>
      </c>
      <c r="D19" s="31" t="s">
        <v>33</v>
      </c>
      <c r="E19" s="48">
        <f t="shared" si="5"/>
        <v>86</v>
      </c>
      <c r="F19" s="48">
        <f t="shared" si="5"/>
        <v>7</v>
      </c>
      <c r="G19" s="48">
        <f t="shared" si="5"/>
        <v>92</v>
      </c>
      <c r="H19" s="48">
        <f t="shared" si="5"/>
        <v>102</v>
      </c>
      <c r="I19" s="48">
        <f t="shared" si="5"/>
        <v>116</v>
      </c>
      <c r="J19" s="48">
        <f t="shared" si="5"/>
        <v>52</v>
      </c>
      <c r="K19" s="48">
        <f t="shared" si="5"/>
        <v>78</v>
      </c>
      <c r="L19" s="48">
        <f t="shared" si="5"/>
        <v>57</v>
      </c>
      <c r="M19" s="48">
        <f t="shared" si="5"/>
        <v>15</v>
      </c>
      <c r="N19" s="48">
        <f t="shared" si="5"/>
        <v>161</v>
      </c>
      <c r="O19" s="33">
        <f t="shared" si="1"/>
        <v>766</v>
      </c>
      <c r="P19" s="34">
        <f t="shared" si="2"/>
        <v>76.600000000000009</v>
      </c>
      <c r="Q19" s="35">
        <f t="shared" si="0"/>
        <v>842.6</v>
      </c>
      <c r="R19" s="32"/>
    </row>
    <row r="20" spans="1:18" s="10" customFormat="1" x14ac:dyDescent="0.2">
      <c r="A20" s="4">
        <v>112</v>
      </c>
      <c r="B20" s="2" t="s">
        <v>19</v>
      </c>
      <c r="C20" s="3" t="s">
        <v>34</v>
      </c>
      <c r="D20" s="31" t="s">
        <v>35</v>
      </c>
      <c r="E20" s="48">
        <f t="shared" si="5"/>
        <v>86</v>
      </c>
      <c r="F20" s="48">
        <f t="shared" si="5"/>
        <v>7</v>
      </c>
      <c r="G20" s="48">
        <f t="shared" si="5"/>
        <v>92</v>
      </c>
      <c r="H20" s="48">
        <f t="shared" si="5"/>
        <v>102</v>
      </c>
      <c r="I20" s="48">
        <f t="shared" si="5"/>
        <v>116</v>
      </c>
      <c r="J20" s="48">
        <f t="shared" si="5"/>
        <v>52</v>
      </c>
      <c r="K20" s="48">
        <f t="shared" si="5"/>
        <v>78</v>
      </c>
      <c r="L20" s="48">
        <f t="shared" si="5"/>
        <v>57</v>
      </c>
      <c r="M20" s="48">
        <f t="shared" si="5"/>
        <v>15</v>
      </c>
      <c r="N20" s="48">
        <f t="shared" si="5"/>
        <v>161</v>
      </c>
      <c r="O20" s="33">
        <f t="shared" si="1"/>
        <v>766</v>
      </c>
      <c r="P20" s="34">
        <f t="shared" si="2"/>
        <v>76.600000000000009</v>
      </c>
      <c r="Q20" s="35">
        <f t="shared" si="0"/>
        <v>842.6</v>
      </c>
      <c r="R20" s="32"/>
    </row>
    <row r="21" spans="1:18" s="10" customFormat="1" ht="25.5" x14ac:dyDescent="0.2">
      <c r="A21" s="4">
        <v>113</v>
      </c>
      <c r="B21" s="2" t="s">
        <v>19</v>
      </c>
      <c r="C21" s="3" t="s">
        <v>37</v>
      </c>
      <c r="D21" s="31" t="s">
        <v>36</v>
      </c>
      <c r="E21" s="48">
        <f t="shared" si="5"/>
        <v>86</v>
      </c>
      <c r="F21" s="48">
        <f t="shared" si="5"/>
        <v>7</v>
      </c>
      <c r="G21" s="48">
        <f t="shared" si="5"/>
        <v>92</v>
      </c>
      <c r="H21" s="48">
        <f t="shared" si="5"/>
        <v>102</v>
      </c>
      <c r="I21" s="48">
        <f t="shared" si="5"/>
        <v>116</v>
      </c>
      <c r="J21" s="48">
        <f t="shared" si="5"/>
        <v>52</v>
      </c>
      <c r="K21" s="48">
        <f t="shared" si="5"/>
        <v>78</v>
      </c>
      <c r="L21" s="48">
        <f t="shared" si="5"/>
        <v>57</v>
      </c>
      <c r="M21" s="48">
        <f t="shared" si="5"/>
        <v>15</v>
      </c>
      <c r="N21" s="48">
        <f t="shared" si="5"/>
        <v>161</v>
      </c>
      <c r="O21" s="33">
        <f t="shared" si="1"/>
        <v>766</v>
      </c>
      <c r="P21" s="34">
        <f t="shared" si="2"/>
        <v>76.600000000000009</v>
      </c>
      <c r="Q21" s="35">
        <f t="shared" si="0"/>
        <v>842.6</v>
      </c>
      <c r="R21" s="32"/>
    </row>
    <row r="22" spans="1:18" s="10" customFormat="1" x14ac:dyDescent="0.2">
      <c r="A22" s="4">
        <v>114</v>
      </c>
      <c r="B22" s="2" t="s">
        <v>19</v>
      </c>
      <c r="C22" s="3" t="s">
        <v>38</v>
      </c>
      <c r="D22" s="31" t="s">
        <v>39</v>
      </c>
      <c r="E22" s="31">
        <v>118</v>
      </c>
      <c r="F22" s="31">
        <v>9</v>
      </c>
      <c r="G22" s="31">
        <v>120</v>
      </c>
      <c r="H22" s="31">
        <v>146</v>
      </c>
      <c r="I22" s="31">
        <v>169</v>
      </c>
      <c r="J22" s="31">
        <v>67</v>
      </c>
      <c r="K22" s="31">
        <v>99</v>
      </c>
      <c r="L22" s="31">
        <v>86</v>
      </c>
      <c r="M22" s="31">
        <v>23</v>
      </c>
      <c r="N22" s="31">
        <v>243</v>
      </c>
      <c r="O22" s="33">
        <f t="shared" si="1"/>
        <v>1080</v>
      </c>
      <c r="P22" s="34">
        <f t="shared" si="2"/>
        <v>108</v>
      </c>
      <c r="Q22" s="35">
        <f t="shared" si="0"/>
        <v>1188</v>
      </c>
      <c r="R22" s="32"/>
    </row>
    <row r="23" spans="1:18" s="10" customFormat="1" ht="24.75" customHeight="1" x14ac:dyDescent="0.2">
      <c r="A23" s="4">
        <v>115</v>
      </c>
      <c r="B23" s="2" t="s">
        <v>19</v>
      </c>
      <c r="C23" s="3" t="s">
        <v>41</v>
      </c>
      <c r="D23" s="31" t="s">
        <v>40</v>
      </c>
      <c r="E23" s="31">
        <f>E22</f>
        <v>118</v>
      </c>
      <c r="F23" s="31">
        <f>F22</f>
        <v>9</v>
      </c>
      <c r="G23" s="31">
        <f>G22</f>
        <v>120</v>
      </c>
      <c r="H23" s="31">
        <f>H22</f>
        <v>146</v>
      </c>
      <c r="I23" s="31">
        <f>I22</f>
        <v>169</v>
      </c>
      <c r="J23" s="31">
        <f>J22</f>
        <v>67</v>
      </c>
      <c r="K23" s="31">
        <f t="shared" ref="K23:N23" si="6">K22</f>
        <v>99</v>
      </c>
      <c r="L23" s="31">
        <f t="shared" si="6"/>
        <v>86</v>
      </c>
      <c r="M23" s="31">
        <f t="shared" si="6"/>
        <v>23</v>
      </c>
      <c r="N23" s="31">
        <f t="shared" si="6"/>
        <v>243</v>
      </c>
      <c r="O23" s="33">
        <f t="shared" si="1"/>
        <v>1080</v>
      </c>
      <c r="P23" s="34">
        <f t="shared" si="2"/>
        <v>108</v>
      </c>
      <c r="Q23" s="35">
        <f t="shared" si="0"/>
        <v>1188</v>
      </c>
      <c r="R23" s="32"/>
    </row>
    <row r="24" spans="1:18" s="10" customFormat="1" x14ac:dyDescent="0.2">
      <c r="A24" s="4">
        <v>116</v>
      </c>
      <c r="B24" s="2" t="s">
        <v>20</v>
      </c>
      <c r="C24" s="3" t="s">
        <v>13</v>
      </c>
      <c r="D24" s="31" t="s">
        <v>48</v>
      </c>
      <c r="E24" s="31">
        <v>181</v>
      </c>
      <c r="F24" s="31">
        <v>13</v>
      </c>
      <c r="G24" s="31">
        <v>191</v>
      </c>
      <c r="H24" s="31">
        <v>240</v>
      </c>
      <c r="I24" s="31">
        <v>279</v>
      </c>
      <c r="J24" s="31">
        <v>107</v>
      </c>
      <c r="K24" s="31">
        <v>158</v>
      </c>
      <c r="L24" s="31">
        <v>138</v>
      </c>
      <c r="M24" s="31">
        <v>37</v>
      </c>
      <c r="N24" s="31">
        <v>388</v>
      </c>
      <c r="O24" s="33">
        <f t="shared" si="1"/>
        <v>1732</v>
      </c>
      <c r="P24" s="34">
        <f t="shared" si="2"/>
        <v>173.20000000000002</v>
      </c>
      <c r="Q24" s="35">
        <f t="shared" si="0"/>
        <v>1905.2</v>
      </c>
      <c r="R24" s="32"/>
    </row>
    <row r="25" spans="1:18" s="10" customFormat="1" x14ac:dyDescent="0.2">
      <c r="A25" s="4">
        <v>117</v>
      </c>
      <c r="B25" s="2" t="s">
        <v>20</v>
      </c>
      <c r="C25" s="2" t="s">
        <v>59</v>
      </c>
      <c r="D25" s="31" t="s">
        <v>49</v>
      </c>
      <c r="E25" s="31">
        <v>137</v>
      </c>
      <c r="F25" s="31">
        <v>19</v>
      </c>
      <c r="G25" s="31">
        <v>167</v>
      </c>
      <c r="H25" s="31">
        <v>152</v>
      </c>
      <c r="I25" s="31">
        <v>181</v>
      </c>
      <c r="J25" s="31">
        <v>130</v>
      </c>
      <c r="K25" s="31">
        <v>109</v>
      </c>
      <c r="L25" s="31">
        <v>96</v>
      </c>
      <c r="M25" s="31">
        <v>35</v>
      </c>
      <c r="N25" s="31">
        <v>356</v>
      </c>
      <c r="O25" s="33">
        <f t="shared" si="1"/>
        <v>1382</v>
      </c>
      <c r="P25" s="34">
        <f t="shared" si="2"/>
        <v>138.20000000000002</v>
      </c>
      <c r="Q25" s="35">
        <f t="shared" si="0"/>
        <v>1520.2</v>
      </c>
      <c r="R25" s="32"/>
    </row>
    <row r="26" spans="1:18" s="10" customFormat="1" x14ac:dyDescent="0.2">
      <c r="A26" s="4">
        <v>118</v>
      </c>
      <c r="B26" s="2" t="s">
        <v>20</v>
      </c>
      <c r="C26" s="37" t="s">
        <v>50</v>
      </c>
      <c r="D26" s="31" t="s">
        <v>51</v>
      </c>
      <c r="E26" s="31">
        <f>E24</f>
        <v>181</v>
      </c>
      <c r="F26" s="31">
        <f>F24</f>
        <v>13</v>
      </c>
      <c r="G26" s="31">
        <f>G24</f>
        <v>191</v>
      </c>
      <c r="H26" s="31">
        <f>H24</f>
        <v>240</v>
      </c>
      <c r="I26" s="31">
        <f>I24</f>
        <v>279</v>
      </c>
      <c r="J26" s="31">
        <f>J24</f>
        <v>107</v>
      </c>
      <c r="K26" s="31">
        <f t="shared" ref="K26:N26" si="7">K24</f>
        <v>158</v>
      </c>
      <c r="L26" s="31">
        <f t="shared" si="7"/>
        <v>138</v>
      </c>
      <c r="M26" s="31">
        <f t="shared" si="7"/>
        <v>37</v>
      </c>
      <c r="N26" s="31">
        <f t="shared" si="7"/>
        <v>388</v>
      </c>
      <c r="O26" s="33">
        <f t="shared" si="1"/>
        <v>1732</v>
      </c>
      <c r="P26" s="34">
        <f t="shared" si="2"/>
        <v>173.20000000000002</v>
      </c>
      <c r="Q26" s="35">
        <f t="shared" si="0"/>
        <v>1905.2</v>
      </c>
      <c r="R26" s="32"/>
    </row>
    <row r="27" spans="1:18" s="10" customFormat="1" ht="25.5" x14ac:dyDescent="0.2">
      <c r="A27" s="4">
        <v>119</v>
      </c>
      <c r="B27" s="2" t="s">
        <v>20</v>
      </c>
      <c r="C27" s="3" t="s">
        <v>55</v>
      </c>
      <c r="D27" s="31" t="s">
        <v>56</v>
      </c>
      <c r="E27" s="31">
        <v>7</v>
      </c>
      <c r="F27" s="31"/>
      <c r="G27" s="31"/>
      <c r="H27" s="31"/>
      <c r="I27" s="31"/>
      <c r="J27" s="31"/>
      <c r="K27" s="31"/>
      <c r="L27" s="31"/>
      <c r="M27" s="31"/>
      <c r="N27" s="31"/>
      <c r="O27" s="33">
        <f t="shared" si="1"/>
        <v>7</v>
      </c>
      <c r="P27" s="34">
        <f t="shared" si="2"/>
        <v>0.70000000000000007</v>
      </c>
      <c r="Q27" s="35">
        <f t="shared" si="0"/>
        <v>7.7</v>
      </c>
      <c r="R27" s="32"/>
    </row>
    <row r="28" spans="1:18" s="10" customFormat="1" ht="25.5" x14ac:dyDescent="0.2">
      <c r="A28" s="4">
        <v>120</v>
      </c>
      <c r="B28" s="2" t="s">
        <v>20</v>
      </c>
      <c r="C28" s="3" t="s">
        <v>52</v>
      </c>
      <c r="D28" s="31" t="s">
        <v>53</v>
      </c>
      <c r="E28" s="31">
        <f>E25+E26</f>
        <v>318</v>
      </c>
      <c r="F28" s="31">
        <f>F25+F26</f>
        <v>32</v>
      </c>
      <c r="G28" s="31">
        <f>G25+G26</f>
        <v>358</v>
      </c>
      <c r="H28" s="31">
        <f>H25+H26</f>
        <v>392</v>
      </c>
      <c r="I28" s="31">
        <f>I25+I26</f>
        <v>460</v>
      </c>
      <c r="J28" s="31">
        <f>J25+J26</f>
        <v>237</v>
      </c>
      <c r="K28" s="31">
        <f t="shared" ref="K28:N28" si="8">K25+K26</f>
        <v>267</v>
      </c>
      <c r="L28" s="31">
        <f t="shared" si="8"/>
        <v>234</v>
      </c>
      <c r="M28" s="31">
        <f t="shared" si="8"/>
        <v>72</v>
      </c>
      <c r="N28" s="31">
        <f t="shared" si="8"/>
        <v>744</v>
      </c>
      <c r="O28" s="33">
        <f t="shared" si="1"/>
        <v>3114</v>
      </c>
      <c r="P28" s="34">
        <f t="shared" si="2"/>
        <v>311.40000000000003</v>
      </c>
      <c r="Q28" s="35">
        <f t="shared" si="0"/>
        <v>3425.4</v>
      </c>
      <c r="R28" s="32"/>
    </row>
    <row r="29" spans="1:18" s="10" customFormat="1" ht="25.5" x14ac:dyDescent="0.2">
      <c r="A29" s="4">
        <v>121</v>
      </c>
      <c r="B29" s="2" t="s">
        <v>21</v>
      </c>
      <c r="C29" s="3" t="s">
        <v>14</v>
      </c>
      <c r="D29" s="31" t="s">
        <v>15</v>
      </c>
      <c r="E29" s="31">
        <f>E24</f>
        <v>181</v>
      </c>
      <c r="F29" s="31">
        <f>F24</f>
        <v>13</v>
      </c>
      <c r="G29" s="31">
        <f>G24</f>
        <v>191</v>
      </c>
      <c r="H29" s="31">
        <f>H24</f>
        <v>240</v>
      </c>
      <c r="I29" s="31">
        <f>I24</f>
        <v>279</v>
      </c>
      <c r="J29" s="31">
        <f>J24</f>
        <v>107</v>
      </c>
      <c r="K29" s="31">
        <f t="shared" ref="K29:N29" si="9">K24</f>
        <v>158</v>
      </c>
      <c r="L29" s="31">
        <f t="shared" si="9"/>
        <v>138</v>
      </c>
      <c r="M29" s="31">
        <f t="shared" si="9"/>
        <v>37</v>
      </c>
      <c r="N29" s="31">
        <f t="shared" si="9"/>
        <v>388</v>
      </c>
      <c r="O29" s="33">
        <f t="shared" si="1"/>
        <v>1732</v>
      </c>
      <c r="P29" s="34">
        <f t="shared" si="2"/>
        <v>173.20000000000002</v>
      </c>
      <c r="Q29" s="35">
        <f t="shared" si="0"/>
        <v>1905.2</v>
      </c>
      <c r="R29" s="32"/>
    </row>
    <row r="30" spans="1:18" s="10" customFormat="1" ht="25.5" x14ac:dyDescent="0.2">
      <c r="A30" s="4">
        <v>122</v>
      </c>
      <c r="B30" s="2" t="s">
        <v>21</v>
      </c>
      <c r="C30" s="3" t="s">
        <v>16</v>
      </c>
      <c r="D30" s="31" t="s">
        <v>17</v>
      </c>
      <c r="E30" s="31">
        <f>E29</f>
        <v>181</v>
      </c>
      <c r="F30" s="31">
        <f>F29</f>
        <v>13</v>
      </c>
      <c r="G30" s="31">
        <f>G29</f>
        <v>191</v>
      </c>
      <c r="H30" s="31">
        <f>H29</f>
        <v>240</v>
      </c>
      <c r="I30" s="31">
        <f>I29</f>
        <v>279</v>
      </c>
      <c r="J30" s="31">
        <f>J29</f>
        <v>107</v>
      </c>
      <c r="K30" s="31">
        <f t="shared" ref="K30:N30" si="10">K29</f>
        <v>158</v>
      </c>
      <c r="L30" s="31">
        <f t="shared" si="10"/>
        <v>138</v>
      </c>
      <c r="M30" s="31">
        <f t="shared" si="10"/>
        <v>37</v>
      </c>
      <c r="N30" s="31">
        <f t="shared" si="10"/>
        <v>388</v>
      </c>
      <c r="O30" s="33">
        <f t="shared" si="1"/>
        <v>1732</v>
      </c>
      <c r="P30" s="34">
        <f t="shared" si="2"/>
        <v>173.20000000000002</v>
      </c>
      <c r="Q30" s="35">
        <f t="shared" ref="Q30" si="11">O30+P30</f>
        <v>1905.2</v>
      </c>
      <c r="R30" s="32"/>
    </row>
    <row r="31" spans="1:18" s="10" customFormat="1" ht="25.5" x14ac:dyDescent="0.2">
      <c r="A31" s="4">
        <v>123</v>
      </c>
      <c r="B31" s="2" t="s">
        <v>22</v>
      </c>
      <c r="C31" s="3" t="s">
        <v>18</v>
      </c>
      <c r="D31" s="31" t="s">
        <v>12</v>
      </c>
      <c r="E31" s="31">
        <v>7</v>
      </c>
      <c r="F31" s="31"/>
      <c r="G31" s="31"/>
      <c r="H31" s="31"/>
      <c r="I31" s="31"/>
      <c r="J31" s="31"/>
      <c r="K31" s="31"/>
      <c r="L31" s="31"/>
      <c r="M31" s="31"/>
      <c r="N31" s="31"/>
      <c r="O31" s="33">
        <f t="shared" si="1"/>
        <v>7</v>
      </c>
      <c r="P31" s="34">
        <f t="shared" si="2"/>
        <v>0.70000000000000007</v>
      </c>
      <c r="Q31" s="35">
        <f>P31+O31</f>
        <v>7.7</v>
      </c>
      <c r="R31" s="32"/>
    </row>
    <row r="32" spans="1:18" s="10" customFormat="1" x14ac:dyDescent="0.2">
      <c r="A32" s="39">
        <v>124</v>
      </c>
      <c r="B32" s="40" t="s">
        <v>19</v>
      </c>
      <c r="C32" s="40" t="s">
        <v>58</v>
      </c>
      <c r="D32" s="42" t="s">
        <v>60</v>
      </c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3">
        <v>1</v>
      </c>
      <c r="P32" s="44">
        <v>0</v>
      </c>
      <c r="Q32" s="45">
        <f t="shared" ref="Q32" si="12">P32+O32</f>
        <v>1</v>
      </c>
      <c r="R32" s="46"/>
    </row>
    <row r="33" spans="1:18" s="10" customFormat="1" x14ac:dyDescent="0.2">
      <c r="A33" s="14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36"/>
    </row>
    <row r="34" spans="1:18" s="10" customFormat="1" x14ac:dyDescent="0.2">
      <c r="A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36"/>
    </row>
    <row r="35" spans="1:18" s="10" customFormat="1" x14ac:dyDescent="0.2">
      <c r="A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36"/>
    </row>
    <row r="36" spans="1:18" s="10" customForma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</row>
    <row r="37" spans="1:18" s="10" customForma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</row>
    <row r="38" spans="1:18" s="10" customFormat="1" x14ac:dyDescent="0.2">
      <c r="A38"/>
      <c r="B38"/>
      <c r="C38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/>
      <c r="P38"/>
      <c r="Q38"/>
    </row>
    <row r="39" spans="1:18" s="10" customForma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</row>
    <row r="40" spans="1:18" s="10" customForma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</row>
    <row r="41" spans="1:18" s="10" customForma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</row>
  </sheetData>
  <autoFilter ref="A8:R33" xr:uid="{427CAE4B-3F11-43EA-8C9F-E67DAF9E89AA}"/>
  <phoneticPr fontId="11" type="noConversion"/>
  <pageMargins left="0.31496062992125984" right="0.31496062992125984" top="0.59055118110236227" bottom="0.39370078740157483" header="0.31496062992125984" footer="0.31496062992125984"/>
  <pageSetup paperSize="9" scale="62" fitToHeight="2" orientation="landscape" verticalDpi="0" r:id="rId1"/>
  <headerFooter>
    <oddHeader>&amp;L&amp;"Arial Black"&amp;10&amp;KDBE5F1&amp;1#</oddHeader>
    <oddFooter>&amp;C&amp;1#&amp;"Arial Black"&amp;10&amp;KDBE5F1{Hitachi Rail – Public}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32f0781-41b3-41c5-b982-66b7cc84927a" xsi:nil="true"/>
    <_ip_UnifiedCompliancePolicyUIAction xmlns="http://schemas.microsoft.com/sharepoint/v3" xsi:nil="true"/>
    <lcf76f155ced4ddcb4097134ff3c332f xmlns="e71557bd-a94a-4992-83cd-7b0bbb6cc9c9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8B32A44718174FBFA6EBEA99650132" ma:contentTypeVersion="15" ma:contentTypeDescription="Create a new document." ma:contentTypeScope="" ma:versionID="c3ac9e1c72ecfbaec0d43ffc54824601">
  <xsd:schema xmlns:xsd="http://www.w3.org/2001/XMLSchema" xmlns:xs="http://www.w3.org/2001/XMLSchema" xmlns:p="http://schemas.microsoft.com/office/2006/metadata/properties" xmlns:ns1="http://schemas.microsoft.com/sharepoint/v3" xmlns:ns2="e71557bd-a94a-4992-83cd-7b0bbb6cc9c9" xmlns:ns3="232f0781-41b3-41c5-b982-66b7cc84927a" targetNamespace="http://schemas.microsoft.com/office/2006/metadata/properties" ma:root="true" ma:fieldsID="ca8211dd59994cb5d5864ad96d56f4a8" ns1:_="" ns2:_="" ns3:_="">
    <xsd:import namespace="http://schemas.microsoft.com/sharepoint/v3"/>
    <xsd:import namespace="e71557bd-a94a-4992-83cd-7b0bbb6cc9c9"/>
    <xsd:import namespace="232f0781-41b3-41c5-b982-66b7cc84927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ObjectDetectorVersions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1557bd-a94a-4992-83cd-7b0bbb6cc9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036c1ffa-2869-427d-a718-c6834b1bcd2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2f0781-41b3-41c5-b982-66b7cc84927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ea44fb66-8663-4520-80ea-4485585132b6}" ma:internalName="TaxCatchAll" ma:showField="CatchAllData" ma:web="232f0781-41b3-41c5-b982-66b7cc84927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9588A60-5E9C-4DFF-8386-FC85D892F29E}">
  <ds:schemaRefs>
    <ds:schemaRef ds:uri="http://www.w3.org/XML/1998/namespace"/>
    <ds:schemaRef ds:uri="http://purl.org/dc/dcmitype/"/>
    <ds:schemaRef ds:uri="232f0781-41b3-41c5-b982-66b7cc84927a"/>
    <ds:schemaRef ds:uri="e71557bd-a94a-4992-83cd-7b0bbb6cc9c9"/>
    <ds:schemaRef ds:uri="http://purl.org/dc/elements/1.1/"/>
    <ds:schemaRef ds:uri="http://schemas.microsoft.com/office/2006/documentManagement/types"/>
    <ds:schemaRef ds:uri="http://schemas.microsoft.com/sharepoint/v3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04DA8CBA-8B6D-4640-898A-ECFE6452DAE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71557bd-a94a-4992-83cd-7b0bbb6cc9c9"/>
    <ds:schemaRef ds:uri="232f0781-41b3-41c5-b982-66b7cc8492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450328B-82B2-4523-BF9F-2CD8CD443F6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IPP - Details</vt:lpstr>
      <vt:lpstr>'IPP - Details'!Print_Titles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Liya Kobuliya</dc:creator>
  <cp:keywords/>
  <dc:description/>
  <cp:lastModifiedBy>ZENZ Norbert</cp:lastModifiedBy>
  <cp:revision/>
  <cp:lastPrinted>2024-03-21T15:43:10Z</cp:lastPrinted>
  <dcterms:created xsi:type="dcterms:W3CDTF">2023-05-30T19:49:03Z</dcterms:created>
  <dcterms:modified xsi:type="dcterms:W3CDTF">2026-08-28T11:11:54Z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0x010100768B32A44718174FBFA6EBEA99650132</vt:lpwstr>
  </property>
  <property fmtid="{D5CDD505-2E9C-101B-9397-08002B2CF9AE}" pid="3" name="MediaServiceImageTags">
    <vt:lpwstr/>
  </property>
  <property fmtid="{D5CDD505-2E9C-101B-9397-08002B2CF9AE}" pid="4" name="MSIP_Label_edd4ef90-adc6-4485-ae6c-ef4966b66c01_Enabled">
    <vt:lpwstr>true</vt:lpwstr>
  </property>
  <property fmtid="{D5CDD505-2E9C-101B-9397-08002B2CF9AE}" pid="5" name="MSIP_Label_edd4ef90-adc6-4485-ae6c-ef4966b66c01_SetDate">
    <vt:lpwstr>2025-06-27T10:07:27Z</vt:lpwstr>
  </property>
  <property fmtid="{D5CDD505-2E9C-101B-9397-08002B2CF9AE}" pid="6" name="MSIP_Label_edd4ef90-adc6-4485-ae6c-ef4966b66c01_Method">
    <vt:lpwstr>Privileged</vt:lpwstr>
  </property>
  <property fmtid="{D5CDD505-2E9C-101B-9397-08002B2CF9AE}" pid="7" name="MSIP_Label_edd4ef90-adc6-4485-ae6c-ef4966b66c01_Name">
    <vt:lpwstr>NEST-CORE-01</vt:lpwstr>
  </property>
  <property fmtid="{D5CDD505-2E9C-101B-9397-08002B2CF9AE}" pid="8" name="MSIP_Label_edd4ef90-adc6-4485-ae6c-ef4966b66c01_SiteId">
    <vt:lpwstr>f33c7791-13ed-4c20-878e-518e247895dc</vt:lpwstr>
  </property>
  <property fmtid="{D5CDD505-2E9C-101B-9397-08002B2CF9AE}" pid="9" name="MSIP_Label_edd4ef90-adc6-4485-ae6c-ef4966b66c01_ActionId">
    <vt:lpwstr>134bcf98-3bdf-40c6-9797-ee907607e974</vt:lpwstr>
  </property>
  <property fmtid="{D5CDD505-2E9C-101B-9397-08002B2CF9AE}" pid="10" name="MSIP_Label_edd4ef90-adc6-4485-ae6c-ef4966b66c01_ContentBits">
    <vt:lpwstr>3</vt:lpwstr>
  </property>
</Properties>
</file>