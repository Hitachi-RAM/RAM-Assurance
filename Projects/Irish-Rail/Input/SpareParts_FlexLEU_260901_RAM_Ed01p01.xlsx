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9C74901F-29FF-40C3-A928-544671C10401}" xr6:coauthVersionLast="47" xr6:coauthVersionMax="47" xr10:uidLastSave="{00000000-0000-0000-0000-000000000000}"/>
  <bookViews>
    <workbookView xWindow="-105" yWindow="0" windowWidth="38610" windowHeight="20985" xr2:uid="{00000000-000D-0000-FFFF-FFFF00000000}"/>
  </bookViews>
  <sheets>
    <sheet name="SpareParts_Template" sheetId="2" r:id="rId1"/>
    <sheet name="Notes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fcu1">#REF!</definedName>
    <definedName name="__MAJ1">[1]base_CPP_CPE!$BA$2</definedName>
    <definedName name="__MAJ2">[1]base_CPP_CPE!$BQ$2</definedName>
    <definedName name="__MAJ3">[1]base_CPP_CPE!$CG$2</definedName>
    <definedName name="_fcu1">#REF!</definedName>
    <definedName name="_Key1" hidden="1">#REF!</definedName>
    <definedName name="_MAJ1">[1]base_CPP_CPE!$BA$2</definedName>
    <definedName name="_MAJ2">[1]base_CPP_CPE!$BQ$2</definedName>
    <definedName name="_MAJ3">[1]base_CPP_CPE!$CG$2</definedName>
    <definedName name="_Order1" hidden="1">255</definedName>
    <definedName name="_Order2" hidden="1">255</definedName>
    <definedName name="_Sort" hidden="1">#REF!</definedName>
    <definedName name="_ZK1">#REF!</definedName>
    <definedName name="_ZK2">#REF!</definedName>
    <definedName name="_ZK4">#REF!</definedName>
    <definedName name="a0">#REF!</definedName>
    <definedName name="ACTIONS">#REF!</definedName>
    <definedName name="ADCPDIMEUD">'[2]CHARGPOT TECH'!#REF!</definedName>
    <definedName name="ADCPDITLE">'[2]CHARGPOT TECH'!#REF!</definedName>
    <definedName name="AffairesSynthèses">#REF!</definedName>
    <definedName name="Année_Taux">[3]sbp2!#REF!</definedName>
    <definedName name="Année_Total">[3]sbp2!#REF!</definedName>
    <definedName name="AnnéeAnalyse">#REF!</definedName>
    <definedName name="anref">[1]Proc_NT!$I$4</definedName>
    <definedName name="archcpr">[4]Référence!$P$62</definedName>
    <definedName name="Balise_Fixed_Alstom">#REF!</definedName>
    <definedName name="Balise_Switchable_Alstom">#REF!</definedName>
    <definedName name="bdd">[5]BDD!#REF!</definedName>
    <definedName name="BdDCB">#REF!</definedName>
    <definedName name="Bilansynthèses">#REF!,#REF!</definedName>
    <definedName name="BK_1">#REF!</definedName>
    <definedName name="BK_3">#REF!</definedName>
    <definedName name="BuyerList">#REF!</definedName>
    <definedName name="Campagnes">#REF!,#REF!</definedName>
    <definedName name="Cat_pro">[6]Help!$C$59:$C$74</definedName>
    <definedName name="CC_D2_INDOOR">'[7]EL2.x Logical Equations'!$C$14</definedName>
    <definedName name="CC_D6_INDOOR">'[7]EL2.x Logical Equations'!$C$15</definedName>
    <definedName name="CEP">#REF!</definedName>
    <definedName name="CEPpréc">#REF!</definedName>
    <definedName name="CESS_1TRIM">'[8]EXTRAC Cess.'!$E$4:$G$419</definedName>
    <definedName name="CESS_2TRIM">'[8]EXTRAC Cess.'!$H$4:$J$419</definedName>
    <definedName name="CESS_3TRIM">'[8]EXTRAC Cess.'!$K$4:$M$419</definedName>
    <definedName name="CESS_4TRIM">'[8]EXTRAC Cess.'!$N$4:$P$419</definedName>
    <definedName name="CESS_N_1">'[8]EXTRAC Cess.'!$E$4:$P$419</definedName>
    <definedName name="CESSION">'[8]EXTRAC Cess.'!$C$4:$C$419</definedName>
    <definedName name="CH_HP">#REF!</definedName>
    <definedName name="CH_HP_T">#REF!</definedName>
    <definedName name="CH_Taux">#REF!</definedName>
    <definedName name="CH_TauxTotal">#REF!</definedName>
    <definedName name="CH_TH">#REF!</definedName>
    <definedName name="CH_TH_T">#REF!</definedName>
    <definedName name="CH_Titre">#REF!</definedName>
    <definedName name="CH_TN">#REF!</definedName>
    <definedName name="CH_TN_T">#REF!</definedName>
    <definedName name="CH_Total">#REF!</definedName>
    <definedName name="Class.">#REF!</definedName>
    <definedName name="CLEFS">#REF!</definedName>
    <definedName name="CM_INDOOR">'[7]EL2.x Logical Equations'!$C$10</definedName>
    <definedName name="CM_REM_INDOOR">'[7]EL2.x Logical Equations'!$C$22</definedName>
    <definedName name="COL">#REF!</definedName>
    <definedName name="colchcle">#REF!</definedName>
    <definedName name="coleffec">#REF!</definedName>
    <definedName name="COLREX">#REF!</definedName>
    <definedName name="COLtres">#REF!</definedName>
    <definedName name="COMM">#REF!</definedName>
    <definedName name="COP">#REF!</definedName>
    <definedName name="costs">#REF!</definedName>
    <definedName name="Cout_Hor">#REF!</definedName>
    <definedName name="CUM">#REF!</definedName>
    <definedName name="CVA_Taux">#REF!</definedName>
    <definedName name="CVA_Total">#REF!</definedName>
    <definedName name="CVM_Taux">#REF!</definedName>
    <definedName name="CVM_Total">#REF!</definedName>
    <definedName name="DAKO_CE">#REF!</definedName>
    <definedName name="DAKO_ESA_Comm">#REF!</definedName>
    <definedName name="_xlnm.Database">#REF!</definedName>
    <definedName name="date_ref0nt">[1]OMEGA!$O$1</definedName>
    <definedName name="DATE_T0">#REF!</definedName>
    <definedName name="DATE_T1">#REF!</definedName>
    <definedName name="DATE_TFIN">#REF!</definedName>
    <definedName name="DateAnalyse">#REF!</definedName>
    <definedName name="DateRéf">#REF!</definedName>
    <definedName name="Dates">[9]ListeDesDates!$A$3:$A$6</definedName>
    <definedName name="dd" hidden="1">#REF!</definedName>
    <definedName name="ddd" hidden="1">#REF!</definedName>
    <definedName name="dddd" hidden="1">{#N/A,#N/A,TRUE,"ENTETE";#N/A,#N/A,TRUE,"COMPOSANTS"}</definedName>
    <definedName name="ddddd">#REF!</definedName>
    <definedName name="ddddddd" hidden="1">{#N/A,#N/A,TRUE,"ENTETE";#N/A,#N/A,TRUE,"COMPOSANTS"}</definedName>
    <definedName name="Declic">#REF!</definedName>
    <definedName name="DR0">#REF!</definedName>
    <definedName name="Ec._à_vent.">#REF!</definedName>
    <definedName name="EC_MUX_1_N_D6_INDOOR">'[7]EL2.x Logical Equations'!$C$21</definedName>
    <definedName name="EC_MUX_n_D6_INDOOR">'[7]EL2.x Logical Equations'!$C$20</definedName>
    <definedName name="EC_n_D2_INDOOR">'[7]EL2.x Logical Equations'!$C$16</definedName>
    <definedName name="EC_n_D6_INDOOR">'[7]EL2.x Logical Equations'!$C$18</definedName>
    <definedName name="EC1_n_D2_INDOOR">'[7]EL2.x Logical Equations'!$C$17</definedName>
    <definedName name="EC1_n_D6_INDOOR">'[7]EL2.x Logical Equations'!$C$19</definedName>
    <definedName name="EcartsParSynthèse">#REF!,#REF!</definedName>
    <definedName name="ENTE" hidden="1">{#N/A,#N/A,TRUE,"ENTETE";#N/A,#N/A,TRUE,"COMPOSANTS"}</definedName>
    <definedName name="ENTETE">#REF!</definedName>
    <definedName name="ESA_Relay_Abgriff">#REF!</definedName>
    <definedName name="ESA_Relay_CC">#REF!</definedName>
    <definedName name="ESA_Relay_Diag">#REF!</definedName>
    <definedName name="ESA_Relay_EC">#REF!</definedName>
    <definedName name="ESA_Relay_LDC">#REF!</definedName>
    <definedName name="ESA_Relay_Switch">#REF!</definedName>
    <definedName name="essai" hidden="1">{#N/A,#N/A,TRUE,"ENTETE";#N/A,#N/A,TRUE,"COMPOSANTS"}</definedName>
    <definedName name="essai2">#REF!</definedName>
    <definedName name="ETCS_SR">#REF!</definedName>
    <definedName name="EURO">#REF!</definedName>
    <definedName name="factor_NFF">'[10].settings'!$B$2</definedName>
    <definedName name="Fixedfirm">#REF!</definedName>
    <definedName name="FlowChart10">[11]Flowcharts!#REF!</definedName>
    <definedName name="FlowChart11">[11]Flowcharts!#REF!</definedName>
    <definedName name="FlowChart12">[11]Flowcharts!#REF!</definedName>
    <definedName name="FlowChart13">[11]Flowcharts!#REF!</definedName>
    <definedName name="FlowChart14">[11]Flowcharts!#REF!</definedName>
    <definedName name="FlowChart15">[11]Flowcharts!#REF!</definedName>
    <definedName name="FlowChart16">[11]Flowcharts!#REF!</definedName>
    <definedName name="FlowChart18">[11]Flowcharts!#REF!</definedName>
    <definedName name="FlowChart19">[11]Flowcharts!#REF!</definedName>
    <definedName name="FlowChart20">[11]Flowcharts!#REF!</definedName>
    <definedName name="FlowChart9">[11]Flowcharts!#REF!</definedName>
    <definedName name="form_comp">#REF!</definedName>
    <definedName name="GestParBU">[12]EcartsGestParBU!$A$3:$E$68</definedName>
    <definedName name="Griser">#REF!</definedName>
    <definedName name="HIS">#REF!</definedName>
    <definedName name="hours_per_year">'[10].settings'!$B$1</definedName>
    <definedName name="HTML_CodePage" hidden="1">1252</definedName>
    <definedName name="HTML_Control" hidden="1">{"'SynthèsesAffaires'!$A$1:$D$82"}</definedName>
    <definedName name="HTML_Description" hidden="1">""</definedName>
    <definedName name="HTML_Email" hidden="1">""</definedName>
    <definedName name="HTML_Header" hidden="1">"Regroupement des affaires dans les synthèses"</definedName>
    <definedName name="HTML_LastUpdate" hidden="1">"25/02/03"</definedName>
    <definedName name="HTML_LineAfter" hidden="1">FALSE</definedName>
    <definedName name="HTML_LineBefore" hidden="1">FALSE</definedName>
    <definedName name="HTML_Name" hidden="1">"k003980"</definedName>
    <definedName name="HTML_OBDlg2" hidden="1">TRUE</definedName>
    <definedName name="HTML_OBDlg4" hidden="1">TRUE</definedName>
    <definedName name="HTML_OS" hidden="1">0</definedName>
    <definedName name="HTML_PathFile" hidden="1">"C:\local\perso\MonHTML.htm"</definedName>
    <definedName name="HTML_Title" hidden="1">"Base de suivi revues de synthèse"</definedName>
    <definedName name="IMP">#REF!</definedName>
    <definedName name="ktd">[6]Help!$E$63:$E$67</definedName>
    <definedName name="LDC_D2_NON_RED_INDOOR">'[7]EL2.x Logical Equations'!$C$24</definedName>
    <definedName name="LDC_D6_NON_RED_INDOOR">'[7]EL2.x Logical Equations'!$C$25</definedName>
    <definedName name="LIBELLE">'[8]EXTRAC Heures'!$D$3:$D$199</definedName>
    <definedName name="list2" hidden="1">{#N/A,#N/A,TRUE,"ENTETE";#N/A,#N/A,TRUE,"COMPOSANTS"}</definedName>
    <definedName name="maj">#REF!</definedName>
    <definedName name="MAJ0">[1]base_CPP_CPE!$AE$2</definedName>
    <definedName name="MAJ0nt">[1]base_CPP_CPE!$AO$2</definedName>
    <definedName name="Mascable">[3]sbp2!#REF!</definedName>
    <definedName name="min_per_year">[7]Settings!$B$8</definedName>
    <definedName name="Mois_Taux">#REF!</definedName>
    <definedName name="Mois_Total">#REF!</definedName>
    <definedName name="Mois_ZoneCumulTaux">#REF!</definedName>
    <definedName name="Mois_ZoneCumulTotale">#REF!</definedName>
    <definedName name="MoisAnalyse">#REF!</definedName>
    <definedName name="Monitor">#REF!</definedName>
    <definedName name="MTTR">[13]Settings!$B$2</definedName>
    <definedName name="MTTR_1h">#REF!</definedName>
    <definedName name="MTTR_1min">[7]Settings!$B$6</definedName>
    <definedName name="MTTR_2min">#REF!</definedName>
    <definedName name="MTTR_3min">[7]Settings!$B$4</definedName>
    <definedName name="MTTR_6h">#REF!</definedName>
    <definedName name="MTTR_8h">[7]Settings!$B$3</definedName>
    <definedName name="N">#REF!</definedName>
    <definedName name="nano">'[10].settings'!$B$3</definedName>
    <definedName name="Nb_BU">#REF!</definedName>
    <definedName name="NB_Campagne_du">#REF!</definedName>
    <definedName name="nb_h_mois__sans_congés">#REF!</definedName>
    <definedName name="nb_mois">#REF!</definedName>
    <definedName name="nb_mois_ouvrés_arrondi">#REF!</definedName>
    <definedName name="nb_uf">#REF!</definedName>
    <definedName name="NEW" hidden="1">{#N/A,#N/A,TRUE,"ENTETE";#N/A,#N/A,TRUE,"COMPOSANTS"}</definedName>
    <definedName name="Numcampagne">[1]Proc_NT!$I$6</definedName>
    <definedName name="ParAffaire">#REF!</definedName>
    <definedName name="ParBU">#REF!</definedName>
    <definedName name="PR_PAGE1">#REF!</definedName>
    <definedName name="PremAnnée">[14]HETD!$BJ$1</definedName>
    <definedName name="_xlnm.Print_Area" localSheetId="1">Notes!$A$1:$N$33</definedName>
    <definedName name="_xlnm.Print_Area" localSheetId="0">SpareParts_Template!$A$2:$P$36</definedName>
    <definedName name="_xlnm.Print_Area">'[15]MENSU SECTION'!#REF!</definedName>
    <definedName name="_xlnm.Print_Titles">#REF!</definedName>
    <definedName name="Purchasingfamily">'[16]Purchasing Family'!$A$3:$A$41</definedName>
    <definedName name="qq" hidden="1">{#N/A,#N/A,TRUE,"ENTETE";#N/A,#N/A,TRUE,"COMPOSANTS"}</definedName>
    <definedName name="RBC_CE">#REF!</definedName>
    <definedName name="RBC_OMS">#REF!</definedName>
    <definedName name="RBC_RCS">#REF!</definedName>
    <definedName name="RBC_Router">#REF!</definedName>
    <definedName name="RBC_Switch">#REF!</definedName>
    <definedName name="RBC_TCB">#REF!</definedName>
    <definedName name="RECAP">'[15]MENSU SECTION'!#REF!</definedName>
    <definedName name="_xlnm.Recorder">[1]Macro1!$W$15:$W$16386</definedName>
    <definedName name="RéférenceAnnée">[17]Ecart02!$G$5</definedName>
    <definedName name="RES">#REF!</definedName>
    <definedName name="RESP">#REF!</definedName>
    <definedName name="riactu">[18]RIactu!$A$9:$AH$142</definedName>
    <definedName name="secs_per_year">[7]Settings!$B$9</definedName>
    <definedName name="Section">#REF!</definedName>
    <definedName name="sitm">[18]Paramètres!$B$5</definedName>
    <definedName name="Supprimer">#REF!</definedName>
    <definedName name="SynthèseAffaires">#REF!</definedName>
    <definedName name="SynthèsesEcarts">#REF!</definedName>
    <definedName name="table">#REF!</definedName>
    <definedName name="table_maj">[19]Feuil2!$A$2:$C$4142</definedName>
    <definedName name="table_omega">#REF!</definedName>
    <definedName name="table_sap">#REF!</definedName>
    <definedName name="table_stat">#REF!</definedName>
    <definedName name="table_synth">#REF!</definedName>
    <definedName name="table2">#REF!</definedName>
    <definedName name="Taux">#REF!,#REF!,#REF!,#REF!</definedName>
    <definedName name="TAUXHOR">'[15]MENSU SECTION'!#REF!</definedName>
    <definedName name="TH">#REF!</definedName>
    <definedName name="THBIS">#REF!</definedName>
    <definedName name="titi" hidden="1">{"'SynthèsesAffaires'!$A$1:$D$82"}</definedName>
    <definedName name="TitreBoite1">'[20]Isoler Affaires'!$C$4</definedName>
    <definedName name="TitreBoite2">'[20]Isoler Affaires'!$C$10</definedName>
    <definedName name="TN">#REF!</definedName>
    <definedName name="TNBIS">#REF!</definedName>
    <definedName name="Total">[1]indic_cpp_cpe_aff!$A$22:$AA$22</definedName>
    <definedName name="Total_frais">#REF!</definedName>
    <definedName name="TotalEcartGestion">#REF!</definedName>
    <definedName name="toto">#REF!</definedName>
    <definedName name="tri">[4]RI!$A$9:$AF$110</definedName>
    <definedName name="TSS_Part_Cost">'[21]TSS Part List'!$F$1:$F$65536</definedName>
    <definedName name="TSS_Part_Cost_Col">MATCH("Cost",INDEX(TSS_Part_List,1,0),0)</definedName>
    <definedName name="TSS_Part_List">'[21]TSS Part List'!$A:$IV</definedName>
    <definedName name="TSS_Part_Name_Col">MATCH("Name",INDEX(TSS_Part_List,1,0),0)</definedName>
    <definedName name="uf_1">#REF!</definedName>
    <definedName name="Unité">#REF!</definedName>
    <definedName name="VAL_1TRIM">'[8]EXTRAC Heures'!$F$3:$H$199</definedName>
    <definedName name="VAL_2TRIM">'[8]EXTRAC Heures'!$I$3:$K$199</definedName>
    <definedName name="VAL_3TRIM">'[8]EXTRAC Heures'!$L$3:$N$199</definedName>
    <definedName name="VAL_4TRIM">'[8]EXTRAC Heures'!$O$3:$Q$199</definedName>
    <definedName name="VAL_N">'[8]EXTRAC Heures'!$R$3:$AC$199</definedName>
    <definedName name="VAL_N_1">'[8]EXTRAC Heures'!$F$3:$Q$199</definedName>
    <definedName name="vvv" hidden="1">{#N/A,#N/A,TRUE,"ENTETE";#N/A,#N/A,TRUE,"COMPOSANTS"}</definedName>
    <definedName name="WP">#REF!</definedName>
    <definedName name="wrn.char9900." hidden="1">{#N/A,#N/A,FALSE,"chargtbu";#N/A,#N/A,FALSE,"chargsbu";#N/A,#N/A,FALSE,"ECART SERIE";#N/A,#N/A,FALSE,"ECART ETUDES";#N/A,#N/A,FALSE,"graphtbu";#N/A,#N/A,FALSE,"graphsbu"}</definedName>
    <definedName name="wrn.NOTIF99." hidden="1">{#N/A,#N/A,FALSE,"récap";#N/A,#N/A,FALSE,"TOTAL";#N/A,#N/A,FALSE,"DIR";#N/A,#N/A,FALSE,"HA";#N/A,#N/A,FALSE,"QO";#N/A,#N/A,FALSE,"IV";#N/A,#N/A,FALSE,"DI";#N/A,#N/A,FALSE,"IC";#N/A,#N/A,FALSE,"PRODUIT";#N/A,#N/A,FALSE,"SYSTEME";#N/A,#N/A,FALSE,"GVN";#N/A,#N/A,FALSE,"EA";#N/A,#N/A,FALSE,"TI";#N/A,#N/A,FALSE,"LO";#N/A,#N/A,FALSE,"DCP";#N/A,#N/A,FALSE,"BOURSIER"}</definedName>
    <definedName name="wrn.PlanAchatDR0." hidden="1">{#N/A,#N/A,TRUE,"ENTETE";#N/A,#N/A,TRUE,"COMPOSANTS"}</definedName>
    <definedName name="wrn.RESU98.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wrn.TdB._.complet.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w" hidden="1">{#N/A,#N/A,FALSE,"récap";#N/A,#N/A,FALSE,"TOTAL";#N/A,#N/A,FALSE,"DIR";#N/A,#N/A,FALSE,"HA";#N/A,#N/A,FALSE,"QO";#N/A,#N/A,FALSE,"IV";#N/A,#N/A,FALSE,"DI";#N/A,#N/A,FALSE,"IC";#N/A,#N/A,FALSE,"PRODUIT";#N/A,#N/A,FALSE,"SYSTEME";#N/A,#N/A,FALSE,"GVN";#N/A,#N/A,FALSE,"EA";#N/A,#N/A,FALSE,"TI";#N/A,#N/A,FALSE,"LO";#N/A,#N/A,FALSE,"DCP";#N/A,#N/A,FALSE,"BOURSIER"}</definedName>
    <definedName name="wwx" hidden="1">{#N/A,#N/A,FALSE,"TOTAL";#N/A,#N/A,FALSE,"TI";#N/A,#N/A,FALSE,"DI";#N/A,#N/A,FALSE,"DN";#N/A,#N/A,FALSE,"EA";#N/A,#N/A,FALSE,"AL";#N/A,#N/A,FALSE,"GVN";#N/A,#N/A,FALSE,"qualité";#N/A,#N/A,FALSE,"achats";#N/A,#N/A,FALSE,"direction";#N/A,#N/A,FALSE,"IV";#N/A,#N/A,FALSE,"IC";#N/A,#N/A,FALSE,"Boursier"}</definedName>
    <definedName name="xx" hidden="1">{#N/A,#N/A,TRUE,"ENTETE";#N/A,#N/A,TRUE,"COMPOSANTS"}</definedName>
    <definedName name="zimp2">'[2]CHARGPOT TECH'!#REF!</definedName>
    <definedName name="zimp3">'[2]CHARGPOT TECH'!#REF!</definedName>
    <definedName name="ZIMP4">'[2]CHARGPOT TECH'!#REF!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O20" i="2" s="1"/>
  <c r="H20" i="2"/>
  <c r="I19" i="2"/>
  <c r="P19" i="2" s="1"/>
  <c r="H19" i="2"/>
  <c r="P20" i="2" l="1"/>
  <c r="L19" i="2"/>
  <c r="M19" i="2"/>
  <c r="O19" i="2"/>
  <c r="L20" i="2"/>
  <c r="M20" i="2"/>
  <c r="I17" i="2" l="1"/>
  <c r="O17" i="2" s="1"/>
  <c r="H17" i="2"/>
  <c r="P17" i="2" l="1"/>
  <c r="L17" i="2"/>
  <c r="M17" i="2"/>
  <c r="P4" i="2" l="1"/>
  <c r="O4" i="2"/>
  <c r="M4" i="2"/>
  <c r="L4" i="2"/>
  <c r="H8" i="2" l="1"/>
  <c r="I8" i="2"/>
  <c r="H9" i="2"/>
  <c r="I9" i="2"/>
  <c r="H12" i="2"/>
  <c r="I12" i="2"/>
  <c r="H14" i="2"/>
  <c r="I14" i="2"/>
  <c r="H15" i="2"/>
  <c r="I15" i="2"/>
  <c r="L14" i="2" l="1"/>
  <c r="M14" i="2"/>
  <c r="M8" i="2"/>
  <c r="L8" i="2"/>
  <c r="L15" i="2"/>
  <c r="M15" i="2"/>
  <c r="M12" i="2"/>
  <c r="L12" i="2"/>
  <c r="M9" i="2"/>
  <c r="L9" i="2"/>
  <c r="O8" i="2"/>
  <c r="P8" i="2"/>
  <c r="O14" i="2"/>
  <c r="P14" i="2"/>
  <c r="O15" i="2"/>
  <c r="P15" i="2"/>
  <c r="O9" i="2"/>
  <c r="P9" i="2"/>
  <c r="O12" i="2"/>
  <c r="P12" i="2"/>
</calcChain>
</file>

<file path=xl/sharedStrings.xml><?xml version="1.0" encoding="utf-8"?>
<sst xmlns="http://schemas.openxmlformats.org/spreadsheetml/2006/main" count="214" uniqueCount="88">
  <si>
    <t>amount
irrepair.
[%]</t>
  </si>
  <si>
    <t>Failure rate + 30% NFF</t>
  </si>
  <si>
    <t>MTBF
[h]</t>
  </si>
  <si>
    <t>Material Nr</t>
  </si>
  <si>
    <t>Material description</t>
  </si>
  <si>
    <t>Material</t>
  </si>
  <si>
    <t>expected nr.</t>
  </si>
  <si>
    <t>recommended</t>
  </si>
  <si>
    <t>MTBF Calculation</t>
  </si>
  <si>
    <t>at least 10 % spares</t>
  </si>
  <si>
    <t>balises</t>
  </si>
  <si>
    <t>The minimum number of spares for the initial outdoor equipment installation is</t>
  </si>
  <si>
    <t>Initial spares outdoor</t>
  </si>
  <si>
    <t>These are typical settings stated by other Railway Authorities for comparable systems.</t>
  </si>
  <si>
    <t>at least 2 spares</t>
  </si>
  <si>
    <t>&lt; 100 items in use</t>
  </si>
  <si>
    <t>at least 1 spare</t>
  </si>
  <si>
    <t>&lt; 10 items in use</t>
  </si>
  <si>
    <t>The minimum number of spares for the initial indoor equipment installation is</t>
  </si>
  <si>
    <t>Initial spares indoor</t>
  </si>
  <si>
    <t>Irreparable items</t>
  </si>
  <si>
    <t>The MTBF figures (Mean time between failures) as well as the failure percentage per year is derived from failure rates. The failure percentage is conservatively enhanced to also include a certain amount of NFF (no failure found) items.</t>
  </si>
  <si>
    <t>MTBF,
Failure percentage,
NFF</t>
  </si>
  <si>
    <t>Failure rate</t>
  </si>
  <si>
    <t>Spare parts calculation - Notes</t>
  </si>
  <si>
    <t>References:</t>
  </si>
  <si>
    <t>[1] 001SCM00402729_01_Reliability_factors.doc</t>
  </si>
  <si>
    <t>Figures calculated according to FIDES 2009 are weighted by a factor 2,5 in order to get comparable values to the ALCATEL Standard [1].</t>
  </si>
  <si>
    <r>
      <t xml:space="preserve">The method is essentially based on models of the Military Handbook 217F. In order to avoid too conservative data, a corrective factor according to the ALCATEL Standard is applied, better reflecting the real failure behavior in field. For indoor systems a </t>
    </r>
    <r>
      <rPr>
        <i/>
        <sz val="11"/>
        <color indexed="8"/>
        <rFont val="Arial"/>
        <family val="2"/>
      </rPr>
      <t xml:space="preserve">ground, benign (GB40) </t>
    </r>
    <r>
      <rPr>
        <sz val="11"/>
        <color indexed="8"/>
        <rFont val="Arial"/>
        <family val="2"/>
      </rPr>
      <t xml:space="preserve">environment is assumed, for outdoor trackside systems a </t>
    </r>
    <r>
      <rPr>
        <i/>
        <sz val="11"/>
        <color indexed="8"/>
        <rFont val="Arial"/>
        <family val="2"/>
      </rPr>
      <t>ground, fixed</t>
    </r>
    <r>
      <rPr>
        <sz val="11"/>
        <color indexed="8"/>
        <rFont val="Arial"/>
        <family val="2"/>
      </rPr>
      <t xml:space="preserve"> (GF40) environment is assumed and for onboard systems a ground, mobile (GM45) environment is assumed.</t>
    </r>
  </si>
  <si>
    <t>Input</t>
  </si>
  <si>
    <t>Repairs total quantity</t>
  </si>
  <si>
    <t>Spares total quantity</t>
  </si>
  <si>
    <t>Minimum spares</t>
  </si>
  <si>
    <t>The minimum number of spares is</t>
  </si>
  <si>
    <t xml:space="preserve">Spare Parts Calculation </t>
  </si>
  <si>
    <t>Spare parts calculations Template
TO be used as input for future spare parts calc.</t>
  </si>
  <si>
    <t>Qty total</t>
  </si>
  <si>
    <t xml:space="preserve">A weighting factor (%) is used to determine the number of irreparable items per year.
</t>
  </si>
  <si>
    <t>ETCS-TSS-LEU</t>
  </si>
  <si>
    <t>LEU Aussencabinet</t>
  </si>
  <si>
    <t>---</t>
  </si>
  <si>
    <t>Westermo switch</t>
  </si>
  <si>
    <t xml:space="preserve">3BU15128AAAA </t>
  </si>
  <si>
    <t>SFP transceiver 155MBit A w.DDMI/Singlemode/LC/duplex/-40°+85°C</t>
  </si>
  <si>
    <t>3BU151270004</t>
  </si>
  <si>
    <t>SFP transceiver 155MBit B w.DDMI/Singlemode/LC/duplex/-40°+85°C</t>
  </si>
  <si>
    <t>3BU151270005</t>
  </si>
  <si>
    <t>Connection Kit for Switch</t>
  </si>
  <si>
    <t>3BU83010AAAA</t>
  </si>
  <si>
    <t>DIN rail bus connector</t>
  </si>
  <si>
    <t>3BU 832000001</t>
  </si>
  <si>
    <t>Power supply 230V</t>
  </si>
  <si>
    <t>3BU83081AAAA</t>
  </si>
  <si>
    <t>Connection Kit for 1x FS-PSU</t>
  </si>
  <si>
    <t>3BU83080AAAA</t>
  </si>
  <si>
    <t>FS-CPU</t>
  </si>
  <si>
    <t>3BU83011AAAA</t>
  </si>
  <si>
    <t>FS-6LCS</t>
  </si>
  <si>
    <t>3BU83031AAAA</t>
  </si>
  <si>
    <t>Connection Kit for FS-6LCS/-6HCS</t>
  </si>
  <si>
    <t>3BU83030AAAA</t>
  </si>
  <si>
    <t>FS-2C</t>
  </si>
  <si>
    <t>3BU83021AAAA</t>
  </si>
  <si>
    <t>Connection Kit for FS-2C/-1C1CL</t>
  </si>
  <si>
    <t>3BU83020AAAA</t>
  </si>
  <si>
    <t>ETCS-TSS-BALISES</t>
  </si>
  <si>
    <t>Switchable Eurobalise Alstom</t>
  </si>
  <si>
    <t>B73A.000026</t>
  </si>
  <si>
    <t xml:space="preserve">Fixed Eurobalise </t>
  </si>
  <si>
    <t>B73A.0100019</t>
  </si>
  <si>
    <t xml:space="preserve">Balisenkabel 10m mit Stecker </t>
  </si>
  <si>
    <t>74I.000059</t>
  </si>
  <si>
    <t>Balise programming tool BPT 2G</t>
  </si>
  <si>
    <t>B76A.000090</t>
  </si>
  <si>
    <t>Balise mounting kit incl Support</t>
  </si>
  <si>
    <t>B73E.0100013.D02.00IT</t>
  </si>
  <si>
    <t>ETCS-TSS-OTHER</t>
  </si>
  <si>
    <t>Splice box / GAK /KV-G95 schwarz</t>
  </si>
  <si>
    <t>3BU151100915  </t>
  </si>
  <si>
    <t>Erdspieß für Splice box  450mm (ab Sec 2)</t>
  </si>
  <si>
    <t>3BU151100935</t>
  </si>
  <si>
    <t>ETCS-IT</t>
  </si>
  <si>
    <t>Panasonic Toughbook CF-20A0205T2  Englische Tastatur</t>
  </si>
  <si>
    <t>3BU828010028</t>
  </si>
  <si>
    <t>Indoor cabinet LMD/TSR</t>
  </si>
  <si>
    <t>3BU 80250BEAA</t>
  </si>
  <si>
    <t>-</t>
  </si>
  <si>
    <t>Failure Rate
[FIT]
GF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</si>
</sst>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###\ ##0&quot;    &quot;"/>
    <numFmt numFmtId="165" formatCode="0%&quot;  &quot;"/>
    <numFmt numFmtId="166" formatCode="###\ ##0&quot;   &quot;"/>
    <numFmt numFmtId="168" formatCode="###\ ##0&quot;       &quot;"/>
    <numFmt numFmtId="170" formatCode="###\ ###\ ##0&quot; &quot;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FuturaA Bk BT"/>
    </font>
    <font>
      <sz val="9"/>
      <name val="Arial"/>
      <family val="2"/>
    </font>
    <font>
      <b/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i/>
      <sz val="11"/>
      <color indexed="8"/>
      <name val="Arial"/>
      <family val="2"/>
    </font>
    <font>
      <sz val="11"/>
      <color indexed="8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10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indexed="64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/>
      <top/>
      <bottom style="thin">
        <color theme="4" tint="-0.499984740745262"/>
      </bottom>
      <diagonal/>
    </border>
    <border>
      <left/>
      <right style="thin">
        <color indexed="64"/>
      </right>
      <top/>
      <bottom style="thin">
        <color theme="4" tint="-0.499984740745262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5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>
      <alignment vertical="top"/>
    </xf>
  </cellStyleXfs>
  <cellXfs count="105">
    <xf numFmtId="0" fontId="0" fillId="0" borderId="0" xfId="0"/>
    <xf numFmtId="0" fontId="3" fillId="0" borderId="0" xfId="2" applyAlignment="1">
      <alignment vertical="center"/>
    </xf>
    <xf numFmtId="0" fontId="3" fillId="0" borderId="0" xfId="2" applyAlignment="1">
      <alignment horizontal="center" vertical="center"/>
    </xf>
    <xf numFmtId="10" fontId="3" fillId="5" borderId="0" xfId="3" applyNumberFormat="1" applyFont="1" applyFill="1" applyAlignment="1">
      <alignment vertical="center"/>
    </xf>
    <xf numFmtId="0" fontId="3" fillId="5" borderId="0" xfId="2" applyFill="1" applyAlignment="1">
      <alignment vertical="center"/>
    </xf>
    <xf numFmtId="0" fontId="4" fillId="7" borderId="2" xfId="2" applyFont="1" applyFill="1" applyBorder="1" applyAlignment="1">
      <alignment vertical="center"/>
    </xf>
    <xf numFmtId="170" fontId="3" fillId="5" borderId="0" xfId="4" applyNumberFormat="1" applyFont="1" applyFill="1" applyBorder="1" applyAlignment="1">
      <alignment horizontal="right" vertical="center"/>
    </xf>
    <xf numFmtId="0" fontId="6" fillId="5" borderId="0" xfId="2" applyFont="1" applyFill="1" applyAlignment="1">
      <alignment vertical="center"/>
    </xf>
    <xf numFmtId="168" fontId="4" fillId="7" borderId="1" xfId="2" applyNumberFormat="1" applyFont="1" applyFill="1" applyBorder="1" applyAlignment="1">
      <alignment horizontal="right" vertical="center"/>
    </xf>
    <xf numFmtId="0" fontId="2" fillId="8" borderId="0" xfId="1" applyFont="1" applyFill="1" applyBorder="1" applyAlignment="1">
      <alignment horizontal="center" vertical="center" wrapText="1"/>
    </xf>
    <xf numFmtId="0" fontId="7" fillId="8" borderId="3" xfId="1" applyFont="1" applyFill="1" applyBorder="1" applyAlignment="1">
      <alignment horizontal="center" vertical="center" wrapText="1"/>
    </xf>
    <xf numFmtId="0" fontId="4" fillId="7" borderId="5" xfId="2" applyFont="1" applyFill="1" applyBorder="1" applyAlignment="1">
      <alignment horizontal="left" vertical="center"/>
    </xf>
    <xf numFmtId="0" fontId="3" fillId="0" borderId="0" xfId="2"/>
    <xf numFmtId="0" fontId="11" fillId="0" borderId="0" xfId="2" applyFont="1"/>
    <xf numFmtId="0" fontId="3" fillId="0" borderId="0" xfId="2" applyAlignment="1">
      <alignment horizontal="left" vertical="center" wrapText="1"/>
    </xf>
    <xf numFmtId="0" fontId="0" fillId="0" borderId="0" xfId="2" applyFont="1" applyAlignment="1">
      <alignment horizontal="center" vertical="center" wrapText="1"/>
    </xf>
    <xf numFmtId="0" fontId="0" fillId="0" borderId="0" xfId="2" applyFont="1" applyAlignment="1">
      <alignment horizontal="left" vertical="center" wrapText="1"/>
    </xf>
    <xf numFmtId="0" fontId="11" fillId="4" borderId="0" xfId="2" applyFont="1" applyFill="1"/>
    <xf numFmtId="0" fontId="11" fillId="0" borderId="7" xfId="2" applyFont="1" applyBorder="1"/>
    <xf numFmtId="0" fontId="12" fillId="0" borderId="0" xfId="2" applyFont="1"/>
    <xf numFmtId="0" fontId="12" fillId="0" borderId="7" xfId="2" applyFont="1" applyBorder="1"/>
    <xf numFmtId="0" fontId="11" fillId="0" borderId="7" xfId="2" applyFont="1" applyBorder="1" applyAlignment="1">
      <alignment vertical="top"/>
    </xf>
    <xf numFmtId="0" fontId="12" fillId="0" borderId="7" xfId="2" applyFont="1" applyBorder="1" applyAlignment="1">
      <alignment vertical="top"/>
    </xf>
    <xf numFmtId="0" fontId="12" fillId="0" borderId="0" xfId="2" applyFont="1" applyAlignment="1">
      <alignment vertical="top" wrapText="1"/>
    </xf>
    <xf numFmtId="0" fontId="11" fillId="4" borderId="4" xfId="2" applyFont="1" applyFill="1" applyBorder="1"/>
    <xf numFmtId="0" fontId="11" fillId="4" borderId="4" xfId="2" applyFont="1" applyFill="1" applyBorder="1" applyAlignment="1">
      <alignment wrapText="1"/>
    </xf>
    <xf numFmtId="0" fontId="13" fillId="4" borderId="4" xfId="2" applyFont="1" applyFill="1" applyBorder="1" applyAlignment="1">
      <alignment wrapText="1"/>
    </xf>
    <xf numFmtId="0" fontId="11" fillId="4" borderId="4" xfId="2" applyFont="1" applyFill="1" applyBorder="1" applyAlignment="1">
      <alignment vertical="top"/>
    </xf>
    <xf numFmtId="0" fontId="11" fillId="4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2" fillId="7" borderId="0" xfId="2" applyFont="1" applyFill="1" applyAlignment="1">
      <alignment vertical="center"/>
    </xf>
    <xf numFmtId="0" fontId="16" fillId="7" borderId="0" xfId="2" applyFont="1" applyFill="1" applyAlignment="1">
      <alignment vertical="center"/>
    </xf>
    <xf numFmtId="0" fontId="12" fillId="0" borderId="0" xfId="2" applyFont="1" applyAlignment="1">
      <alignment vertical="center"/>
    </xf>
    <xf numFmtId="0" fontId="6" fillId="5" borderId="0" xfId="2" applyFont="1" applyFill="1" applyAlignment="1">
      <alignment horizontal="left" vertical="center"/>
    </xf>
    <xf numFmtId="0" fontId="11" fillId="0" borderId="0" xfId="2" applyFont="1" applyAlignment="1">
      <alignment horizontal="left" vertical="top" wrapText="1"/>
    </xf>
    <xf numFmtId="0" fontId="3" fillId="0" borderId="0" xfId="2" applyAlignment="1">
      <alignment wrapText="1"/>
    </xf>
    <xf numFmtId="0" fontId="12" fillId="4" borderId="4" xfId="2" applyFont="1" applyFill="1" applyBorder="1" applyAlignment="1">
      <alignment vertical="top" wrapText="1"/>
    </xf>
    <xf numFmtId="0" fontId="11" fillId="4" borderId="4" xfId="2" applyFont="1" applyFill="1" applyBorder="1" applyAlignment="1">
      <alignment vertical="top" wrapText="1"/>
    </xf>
    <xf numFmtId="0" fontId="12" fillId="0" borderId="0" xfId="2" applyFont="1" applyAlignment="1">
      <alignment vertical="top"/>
    </xf>
    <xf numFmtId="164" fontId="4" fillId="10" borderId="1" xfId="2" applyNumberFormat="1" applyFont="1" applyFill="1" applyBorder="1" applyAlignment="1">
      <alignment horizontal="right" vertical="center"/>
    </xf>
    <xf numFmtId="0" fontId="7" fillId="7" borderId="9" xfId="1" applyFont="1" applyFill="1" applyBorder="1" applyAlignment="1">
      <alignment horizontal="center" vertical="center" wrapText="1"/>
    </xf>
    <xf numFmtId="0" fontId="7" fillId="7" borderId="8" xfId="1" applyFont="1" applyFill="1" applyBorder="1" applyAlignment="1">
      <alignment horizontal="center" vertical="center" wrapText="1"/>
    </xf>
    <xf numFmtId="168" fontId="4" fillId="7" borderId="10" xfId="2" applyNumberFormat="1" applyFont="1" applyFill="1" applyBorder="1" applyAlignment="1">
      <alignment horizontal="right" vertical="center"/>
    </xf>
    <xf numFmtId="164" fontId="4" fillId="6" borderId="10" xfId="2" applyNumberFormat="1" applyFont="1" applyFill="1" applyBorder="1" applyAlignment="1">
      <alignment horizontal="right" vertical="center"/>
    </xf>
    <xf numFmtId="164" fontId="4" fillId="6" borderId="1" xfId="2" applyNumberFormat="1" applyFont="1" applyFill="1" applyBorder="1" applyAlignment="1">
      <alignment horizontal="right" vertical="center"/>
    </xf>
    <xf numFmtId="0" fontId="3" fillId="3" borderId="6" xfId="2" applyFill="1" applyBorder="1" applyAlignment="1">
      <alignment vertical="center"/>
    </xf>
    <xf numFmtId="0" fontId="3" fillId="3" borderId="0" xfId="2" applyFill="1" applyAlignment="1">
      <alignment vertical="center"/>
    </xf>
    <xf numFmtId="0" fontId="7" fillId="3" borderId="0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164" fontId="4" fillId="10" borderId="10" xfId="2" applyNumberFormat="1" applyFont="1" applyFill="1" applyBorder="1" applyAlignment="1">
      <alignment horizontal="right" vertical="center"/>
    </xf>
    <xf numFmtId="0" fontId="11" fillId="0" borderId="0" xfId="6" applyFont="1"/>
    <xf numFmtId="0" fontId="11" fillId="4" borderId="0" xfId="6" applyFont="1" applyFill="1"/>
    <xf numFmtId="0" fontId="12" fillId="0" borderId="7" xfId="6" applyFont="1" applyBorder="1"/>
    <xf numFmtId="0" fontId="11" fillId="0" borderId="7" xfId="6" applyFont="1" applyBorder="1"/>
    <xf numFmtId="0" fontId="3" fillId="0" borderId="0" xfId="6"/>
    <xf numFmtId="166" fontId="3" fillId="5" borderId="11" xfId="4" applyNumberFormat="1" applyFont="1" applyFill="1" applyBorder="1" applyAlignment="1">
      <alignment vertical="center"/>
    </xf>
    <xf numFmtId="165" fontId="3" fillId="5" borderId="1" xfId="3" applyNumberFormat="1" applyFont="1" applyFill="1" applyBorder="1" applyAlignment="1">
      <alignment horizontal="right" vertical="center"/>
    </xf>
    <xf numFmtId="0" fontId="17" fillId="8" borderId="14" xfId="1" applyFont="1" applyFill="1" applyBorder="1" applyAlignment="1">
      <alignment horizontal="center" vertical="center" wrapText="1"/>
    </xf>
    <xf numFmtId="0" fontId="7" fillId="8" borderId="15" xfId="1" applyFont="1" applyFill="1" applyBorder="1" applyAlignment="1">
      <alignment horizontal="center" vertical="center" wrapText="1"/>
    </xf>
    <xf numFmtId="0" fontId="2" fillId="8" borderId="1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left" vertical="center" wrapText="1"/>
    </xf>
    <xf numFmtId="0" fontId="3" fillId="7" borderId="16" xfId="2" applyFill="1" applyBorder="1" applyAlignment="1">
      <alignment vertical="center"/>
    </xf>
    <xf numFmtId="0" fontId="4" fillId="7" borderId="17" xfId="2" applyFont="1" applyFill="1" applyBorder="1" applyAlignment="1">
      <alignment horizontal="center" vertical="center" wrapText="1"/>
    </xf>
    <xf numFmtId="0" fontId="3" fillId="7" borderId="18" xfId="2" applyFill="1" applyBorder="1" applyAlignment="1">
      <alignment vertical="center"/>
    </xf>
    <xf numFmtId="0" fontId="3" fillId="7" borderId="19" xfId="2" applyFill="1" applyBorder="1" applyAlignment="1">
      <alignment vertical="center"/>
    </xf>
    <xf numFmtId="0" fontId="3" fillId="4" borderId="11" xfId="2" applyFill="1" applyBorder="1" applyAlignment="1">
      <alignment vertical="center"/>
    </xf>
    <xf numFmtId="0" fontId="3" fillId="5" borderId="11" xfId="2" applyFill="1" applyBorder="1" applyAlignment="1">
      <alignment vertical="center"/>
    </xf>
    <xf numFmtId="0" fontId="11" fillId="0" borderId="0" xfId="2" applyFont="1" applyAlignment="1">
      <alignment horizontal="left" vertical="top" wrapText="1"/>
    </xf>
    <xf numFmtId="0" fontId="11" fillId="0" borderId="7" xfId="2" applyFont="1" applyBorder="1" applyAlignment="1">
      <alignment horizontal="left" vertical="top" wrapText="1"/>
    </xf>
    <xf numFmtId="0" fontId="0" fillId="0" borderId="0" xfId="2" applyFont="1" applyAlignment="1">
      <alignment horizontal="left" vertical="center" wrapText="1"/>
    </xf>
    <xf numFmtId="0" fontId="3" fillId="0" borderId="0" xfId="2" applyAlignment="1">
      <alignment horizontal="left" vertical="center" wrapText="1"/>
    </xf>
    <xf numFmtId="0" fontId="3" fillId="0" borderId="0" xfId="2" applyAlignment="1">
      <alignment wrapText="1"/>
    </xf>
    <xf numFmtId="0" fontId="11" fillId="0" borderId="0" xfId="2" applyFont="1" applyAlignment="1">
      <alignment vertical="top" wrapText="1"/>
    </xf>
    <xf numFmtId="0" fontId="11" fillId="0" borderId="7" xfId="2" applyFont="1" applyBorder="1" applyAlignment="1">
      <alignment vertical="top" wrapText="1"/>
    </xf>
    <xf numFmtId="0" fontId="0" fillId="0" borderId="0" xfId="2" applyFont="1" applyAlignment="1">
      <alignment horizontal="left" vertical="top" wrapText="1"/>
    </xf>
    <xf numFmtId="0" fontId="11" fillId="0" borderId="7" xfId="6" applyFont="1" applyBorder="1" applyAlignment="1">
      <alignment vertical="top" wrapText="1"/>
    </xf>
    <xf numFmtId="0" fontId="11" fillId="11" borderId="7" xfId="6" applyFont="1" applyFill="1" applyBorder="1" applyAlignment="1">
      <alignment horizontal="left" vertical="top" wrapText="1"/>
    </xf>
    <xf numFmtId="0" fontId="19" fillId="4" borderId="11" xfId="2" applyFont="1" applyFill="1" applyBorder="1" applyAlignment="1">
      <alignment horizontal="center" vertical="top" wrapText="1"/>
    </xf>
    <xf numFmtId="0" fontId="19" fillId="4" borderId="1" xfId="2" applyFont="1" applyFill="1" applyBorder="1" applyAlignment="1">
      <alignment horizontal="center" vertical="top" wrapText="1"/>
    </xf>
    <xf numFmtId="0" fontId="18" fillId="4" borderId="12" xfId="2" applyFont="1" applyFill="1" applyBorder="1" applyAlignment="1">
      <alignment horizontal="center" vertical="center" wrapText="1"/>
    </xf>
    <xf numFmtId="0" fontId="18" fillId="4" borderId="13" xfId="2" applyFont="1" applyFill="1" applyBorder="1" applyAlignment="1">
      <alignment horizontal="center" vertical="center" wrapText="1"/>
    </xf>
    <xf numFmtId="0" fontId="10" fillId="9" borderId="12" xfId="2" applyFont="1" applyFill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8" fillId="7" borderId="12" xfId="2" applyFont="1" applyFill="1" applyBorder="1" applyAlignment="1">
      <alignment horizontal="center" vertical="center" wrapText="1"/>
    </xf>
    <xf numFmtId="0" fontId="8" fillId="7" borderId="7" xfId="2" applyFont="1" applyFill="1" applyBorder="1" applyAlignment="1">
      <alignment horizontal="center" vertical="center" wrapText="1"/>
    </xf>
    <xf numFmtId="0" fontId="8" fillId="7" borderId="13" xfId="2" applyFont="1" applyFill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9" fillId="9" borderId="11" xfId="2" applyFont="1" applyFill="1" applyBorder="1" applyAlignment="1">
      <alignment horizontal="center" vertical="top" wrapText="1"/>
    </xf>
    <xf numFmtId="0" fontId="9" fillId="0" borderId="0" xfId="2" applyFont="1" applyAlignment="1">
      <alignment horizontal="center" vertical="top" wrapText="1"/>
    </xf>
    <xf numFmtId="0" fontId="9" fillId="0" borderId="1" xfId="2" applyFont="1" applyBorder="1" applyAlignment="1">
      <alignment horizontal="center" vertical="top" wrapText="1"/>
    </xf>
    <xf numFmtId="0" fontId="20" fillId="4" borderId="12" xfId="2" applyFont="1" applyFill="1" applyBorder="1" applyAlignment="1">
      <alignment horizontal="center" vertical="center" wrapText="1"/>
    </xf>
    <xf numFmtId="0" fontId="20" fillId="4" borderId="13" xfId="2" applyFont="1" applyFill="1" applyBorder="1" applyAlignment="1">
      <alignment horizontal="center" vertical="center" wrapText="1"/>
    </xf>
    <xf numFmtId="1" fontId="3" fillId="5" borderId="1" xfId="2" applyNumberFormat="1" applyFill="1" applyBorder="1" applyAlignment="1">
      <alignment vertical="center"/>
    </xf>
    <xf numFmtId="166" fontId="3" fillId="5" borderId="11" xfId="4" applyNumberFormat="1" applyFont="1" applyFill="1" applyBorder="1" applyAlignment="1">
      <alignment horizontal="center" vertical="center"/>
    </xf>
    <xf numFmtId="170" fontId="3" fillId="5" borderId="0" xfId="4" applyNumberFormat="1" applyFont="1" applyFill="1" applyBorder="1" applyAlignment="1">
      <alignment horizontal="center" vertical="center"/>
    </xf>
    <xf numFmtId="10" fontId="3" fillId="5" borderId="0" xfId="3" applyNumberFormat="1" applyFont="1" applyFill="1" applyAlignment="1">
      <alignment horizontal="center" vertical="center"/>
    </xf>
    <xf numFmtId="165" fontId="3" fillId="5" borderId="1" xfId="3" applyNumberFormat="1" applyFont="1" applyFill="1" applyBorder="1" applyAlignment="1">
      <alignment horizontal="center" vertical="center"/>
    </xf>
    <xf numFmtId="164" fontId="4" fillId="6" borderId="10" xfId="2" applyNumberFormat="1" applyFont="1" applyFill="1" applyBorder="1" applyAlignment="1">
      <alignment horizontal="center" vertical="center"/>
    </xf>
    <xf numFmtId="164" fontId="4" fillId="6" borderId="1" xfId="2" applyNumberFormat="1" applyFont="1" applyFill="1" applyBorder="1" applyAlignment="1">
      <alignment horizontal="center" vertical="center"/>
    </xf>
    <xf numFmtId="164" fontId="4" fillId="10" borderId="10" xfId="2" applyNumberFormat="1" applyFont="1" applyFill="1" applyBorder="1" applyAlignment="1">
      <alignment horizontal="center" vertical="center"/>
    </xf>
    <xf numFmtId="164" fontId="4" fillId="10" borderId="1" xfId="2" applyNumberFormat="1" applyFont="1" applyFill="1" applyBorder="1" applyAlignment="1">
      <alignment horizontal="center" vertical="center"/>
    </xf>
  </cellXfs>
  <cellStyles count="9">
    <cellStyle name="20% - Accent1" xfId="1" builtinId="30"/>
    <cellStyle name="Comma [0] 2" xfId="4" xr:uid="{614EE4B5-8F5F-467B-8987-5F3BFF4127D9}"/>
    <cellStyle name="Comma 2" xfId="5" xr:uid="{1FF6FE36-82C9-4CC3-84AD-9CD0BFBD8FC1}"/>
    <cellStyle name="Normal" xfId="0" builtinId="0"/>
    <cellStyle name="Normal 2" xfId="2" xr:uid="{65EF71A8-60E2-4D28-9CBB-B850E6239A98}"/>
    <cellStyle name="Normal 2 2" xfId="6" xr:uid="{4660ECDB-1061-496B-AA23-850E5F3D244B}"/>
    <cellStyle name="Normal 3" xfId="8" xr:uid="{337E4297-0411-41FC-B78A-EA46DB5DCA90}"/>
    <cellStyle name="Normal_Sheet1" xfId="3" xr:uid="{A8ED99E9-02A1-4F75-B4FD-2217583E4506}"/>
    <cellStyle name="Percent 2" xfId="7" xr:uid="{6675B806-ED31-4924-82BE-063EF6BF28BA}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TS\TBU_NAV\GEST_NAV\GA\0indic02\AFFAIRE\CPECPP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local\ACS\SBP2\SBP04-06\APRES151003\Version%202\SBP2-04_06-Final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EMP\S000024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cal\VF\CAL\COMPTE02\acre27-11\RECACLM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cal\perso\EcartsEtudes_2003essa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Data\T0086874\Mes%20documents\Travail\Doc%20Generale%20propos&#233;e\Dossier%20suivi%20d'acquisition\P3\87201589-EN-001-Template_Chorus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ORG\RL\Produkte\06_ELEKTRA\ELEKTRA_Generisch\RAM_Ana_EL2\RamAna_Ed04\RamAna_3BU_15000_4997_DUAPA_Ed04_Berechnun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ab76636\Acre%200602\PR-05-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cal\DFGCAL\Ecarts%20d'&#233;tude\EcartsEtudes%202003\EcartsEtudes_20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inks\RAM_Basics\RAM%20Documents%20Florian\Spare%20Parts\Spare%20Parts\Spare_Parts_ETCS_L2_Boba_Ed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~002772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cal\DFGCAL\Affaires\Synth&#232;ses\Synth&#232;se2002\EcartsEtudes20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les-AT-Data\Thales-AT\ORG\RL\Produkte\RAM\Hardware\Balisen\Overview_reliability_balis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TS\TBU_NAV\GEST_NAV\SBP2-03\GA\SBP2_03_SEPT\HETDBREF020918B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local\REORGANISATION%20ACS%202003\T8-new%20org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RG\RI\Projekte\Ungarn\R60\PES-HU-R60-20171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local\ACS\Perfo_Revue\2004pr\PR_Juin_(11)\ETUDES\PR_11_JuinV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local\2000\ACRE\FEV2000\RECACDEC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RESTITOE.CAL\OE_01-10-20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cal\ACS\Perfo_Revue\2004pr\PR_f&#233;v_(05)\HETD_METIER_04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wkrems\Local%20Settings\Temporary%20Internet%20Files\Content.Outlook\74M92OOF\TSS_cost_Septemvri_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_CPP_CPE"/>
      <sheetName val="REMARQUES"/>
      <sheetName val="Dérive_DO"/>
      <sheetName val="indic_graphe"/>
      <sheetName val="indic_cpp_cpe_dept"/>
      <sheetName val="indic_cpp_cpe_aff"/>
      <sheetName val="indic_TF_T0"/>
      <sheetName val="Liste_aff"/>
      <sheetName val="Liste_crit"/>
      <sheetName val="Macro1"/>
      <sheetName val="OMEGA"/>
      <sheetName val="Proc_3.11"/>
      <sheetName val="Proc_NT"/>
      <sheetName val="MODIF_REF03"/>
      <sheetName val="Dérive_Dept"/>
      <sheetName val="Graphe"/>
    </sheetNames>
    <sheetDataSet>
      <sheetData sheetId="0" refreshError="1">
        <row r="2">
          <cell r="AE2" t="str">
            <v>OMEGA du : 28/11/2001</v>
          </cell>
          <cell r="AO2" t="str">
            <v>OMEGA du : 7/2/2002</v>
          </cell>
          <cell r="BA2" t="str">
            <v>OMEGA du : 21/3/2002</v>
          </cell>
          <cell r="BQ2" t="str">
            <v>OMEGA du : 19/6/2002</v>
          </cell>
          <cell r="CG2" t="str">
            <v>OMEGA du : 21/11/2002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2">
          <cell r="B22" t="str">
            <v>%DIV  A194-00B12N  COATANTIEC.J</v>
          </cell>
          <cell r="C22" t="str">
            <v>TOTEM LRBA</v>
          </cell>
          <cell r="D22">
            <v>171.4</v>
          </cell>
          <cell r="E22">
            <v>171.474662</v>
          </cell>
          <cell r="F22">
            <v>-7.4661999999989348E-2</v>
          </cell>
          <cell r="G22">
            <v>-1.2880000000000109</v>
          </cell>
          <cell r="H22">
            <v>171.4</v>
          </cell>
          <cell r="I22">
            <v>171.03</v>
          </cell>
          <cell r="J22">
            <v>0.37000000000000455</v>
          </cell>
          <cell r="K22">
            <v>0.4446619999999939</v>
          </cell>
          <cell r="L22">
            <v>171.4</v>
          </cell>
          <cell r="M22">
            <v>170.68</v>
          </cell>
          <cell r="N22">
            <v>0.71999999999999886</v>
          </cell>
          <cell r="O22">
            <v>0.79466199999998821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122</v>
          </cell>
          <cell r="U22">
            <v>3.1680985714285761</v>
          </cell>
          <cell r="V22">
            <v>166.594662</v>
          </cell>
          <cell r="W22">
            <v>161</v>
          </cell>
          <cell r="X22">
            <v>171.4</v>
          </cell>
          <cell r="Y22">
            <v>170.68</v>
          </cell>
          <cell r="Z22">
            <v>0.71999999999999886</v>
          </cell>
          <cell r="AA22">
            <v>37408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O1" t="str">
            <v>date_ref2</v>
          </cell>
        </row>
      </sheetData>
      <sheetData sheetId="11" refreshError="1"/>
      <sheetData sheetId="12" refreshError="1">
        <row r="4">
          <cell r="I4">
            <v>2002</v>
          </cell>
        </row>
        <row r="6">
          <cell r="I6">
            <v>2</v>
          </cell>
        </row>
      </sheetData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CLES TBU"/>
      <sheetName val="RESULTATDG"/>
      <sheetName val="apce(prop)"/>
      <sheetName val="apce(retenu)"/>
      <sheetName val="cess-ETUDES"/>
      <sheetName val="cess-AFFAIRES "/>
      <sheetName val="charg-AFFAIRES"/>
      <sheetName val="CHARGPOT TECH"/>
      <sheetName val="ACTIVIT2 serie"/>
      <sheetName val="CHARGESERIE"/>
      <sheetName val="ecart-serie OSP"/>
      <sheetName val="ecart-serie PREC"/>
      <sheetName val="Prodsynth"/>
      <sheetName val="REPARTCPP"/>
      <sheetName val="HYPOTHESES GEN"/>
      <sheetName val="STOCKS"/>
      <sheetName val="TRESBFR"/>
      <sheetName val="volume achats"/>
      <sheetName val="CHARGPOT PROD"/>
      <sheetName val="FRAIS DSI"/>
      <sheetName val="frais repartis"/>
      <sheetName val="TARIF(01)"/>
      <sheetName val="TARIFS"/>
      <sheetName val="INVEST"/>
      <sheetName val="TXTECHN"/>
      <sheetName val="TXTECHN (2)"/>
      <sheetName val="TXPROD"/>
      <sheetName val="TXPROD (2)"/>
      <sheetName val="EVOLCAP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p2"/>
      <sheetName val="effectifs"/>
      <sheetName val="Fonctions"/>
      <sheetName val="Procédur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"/>
      <sheetName val="Référence"/>
      <sheetName val="Paramètres"/>
    </sheetNames>
    <sheetDataSet>
      <sheetData sheetId="0" refreshError="1">
        <row r="9">
          <cell r="A9" t="str">
            <v>109A</v>
          </cell>
          <cell r="B9" t="str">
            <v>A</v>
          </cell>
          <cell r="C9" t="str">
            <v>109</v>
          </cell>
          <cell r="D9" t="str">
            <v>A109</v>
          </cell>
          <cell r="F9">
            <v>9896.76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203</v>
          </cell>
          <cell r="O9">
            <v>9025.6389787610624</v>
          </cell>
          <cell r="P9">
            <v>9896.76</v>
          </cell>
          <cell r="Q9">
            <v>9896.76</v>
          </cell>
          <cell r="R9">
            <v>9896.76</v>
          </cell>
          <cell r="S9">
            <v>0</v>
          </cell>
          <cell r="T9">
            <v>-871.12102123893862</v>
          </cell>
          <cell r="U9">
            <v>-9693.76</v>
          </cell>
          <cell r="V9">
            <v>0</v>
          </cell>
          <cell r="W9">
            <v>0</v>
          </cell>
          <cell r="X9">
            <v>0</v>
          </cell>
          <cell r="Y9">
            <v>203</v>
          </cell>
          <cell r="Z9">
            <v>0</v>
          </cell>
          <cell r="AA9">
            <v>-9693.76</v>
          </cell>
          <cell r="AB9">
            <v>0</v>
          </cell>
          <cell r="AC9">
            <v>0</v>
          </cell>
          <cell r="AD9">
            <v>0</v>
          </cell>
          <cell r="AF9">
            <v>-871.12102123893862</v>
          </cell>
        </row>
        <row r="10">
          <cell r="A10" t="str">
            <v>310A</v>
          </cell>
          <cell r="B10" t="str">
            <v>A</v>
          </cell>
          <cell r="C10" t="str">
            <v>310</v>
          </cell>
          <cell r="D10" t="str">
            <v>A310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181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181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F10">
            <v>0</v>
          </cell>
        </row>
        <row r="11">
          <cell r="A11" t="str">
            <v>320A</v>
          </cell>
          <cell r="B11" t="str">
            <v>A</v>
          </cell>
          <cell r="C11" t="str">
            <v>320</v>
          </cell>
          <cell r="D11" t="str">
            <v>A320</v>
          </cell>
          <cell r="F11">
            <v>146.13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-7.3</v>
          </cell>
          <cell r="L11">
            <v>0</v>
          </cell>
          <cell r="M11">
            <v>0</v>
          </cell>
          <cell r="N11">
            <v>220</v>
          </cell>
          <cell r="O11">
            <v>120.614</v>
          </cell>
          <cell r="P11">
            <v>146.13</v>
          </cell>
          <cell r="Q11">
            <v>146.13</v>
          </cell>
          <cell r="R11">
            <v>138.83000000000001</v>
          </cell>
          <cell r="S11">
            <v>-7.3</v>
          </cell>
          <cell r="T11">
            <v>-25.516000000000005</v>
          </cell>
          <cell r="U11">
            <v>73.87</v>
          </cell>
          <cell r="V11">
            <v>0</v>
          </cell>
          <cell r="W11">
            <v>0</v>
          </cell>
          <cell r="X11">
            <v>0</v>
          </cell>
          <cell r="Y11">
            <v>120</v>
          </cell>
          <cell r="Z11">
            <v>0</v>
          </cell>
          <cell r="AA11">
            <v>-26.13</v>
          </cell>
          <cell r="AB11">
            <v>-7.3</v>
          </cell>
          <cell r="AC11">
            <v>0</v>
          </cell>
          <cell r="AD11">
            <v>7.3</v>
          </cell>
          <cell r="AF11">
            <v>-25.516000000000005</v>
          </cell>
        </row>
        <row r="12">
          <cell r="A12" t="str">
            <v>340A</v>
          </cell>
          <cell r="B12" t="str">
            <v>A</v>
          </cell>
          <cell r="C12" t="str">
            <v>340</v>
          </cell>
          <cell r="D12" t="str">
            <v>A340</v>
          </cell>
          <cell r="E12">
            <v>70</v>
          </cell>
          <cell r="F12">
            <v>1811.76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1629</v>
          </cell>
          <cell r="O12">
            <v>1242.462</v>
          </cell>
          <cell r="P12">
            <v>1811.76</v>
          </cell>
          <cell r="Q12">
            <v>1811.76</v>
          </cell>
          <cell r="R12">
            <v>1811.76</v>
          </cell>
          <cell r="S12">
            <v>0</v>
          </cell>
          <cell r="T12">
            <v>-569.298</v>
          </cell>
          <cell r="U12">
            <v>-182.76</v>
          </cell>
          <cell r="V12">
            <v>0</v>
          </cell>
          <cell r="W12">
            <v>0</v>
          </cell>
          <cell r="X12">
            <v>0</v>
          </cell>
          <cell r="Y12">
            <v>1299</v>
          </cell>
          <cell r="Z12">
            <v>272</v>
          </cell>
          <cell r="AA12">
            <v>-512.76</v>
          </cell>
          <cell r="AB12">
            <v>0</v>
          </cell>
          <cell r="AC12">
            <v>0</v>
          </cell>
          <cell r="AD12">
            <v>0</v>
          </cell>
          <cell r="AE12">
            <v>15.97</v>
          </cell>
          <cell r="AF12">
            <v>-575.06900000000007</v>
          </cell>
        </row>
        <row r="13">
          <cell r="A13" t="str">
            <v>AHNA</v>
          </cell>
          <cell r="B13" t="str">
            <v>A</v>
          </cell>
          <cell r="C13" t="str">
            <v>AHN</v>
          </cell>
          <cell r="D13" t="str">
            <v>AHNG</v>
          </cell>
          <cell r="F13">
            <v>4265.99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4529</v>
          </cell>
          <cell r="O13">
            <v>4218.9639999999999</v>
          </cell>
          <cell r="P13">
            <v>4265.99</v>
          </cell>
          <cell r="Q13">
            <v>4265.99</v>
          </cell>
          <cell r="R13">
            <v>4265.99</v>
          </cell>
          <cell r="S13">
            <v>0</v>
          </cell>
          <cell r="T13">
            <v>-47.026000000000067</v>
          </cell>
          <cell r="U13">
            <v>263.01</v>
          </cell>
          <cell r="V13">
            <v>0</v>
          </cell>
          <cell r="W13">
            <v>0</v>
          </cell>
          <cell r="X13">
            <v>0</v>
          </cell>
          <cell r="Y13">
            <v>4116</v>
          </cell>
          <cell r="Z13">
            <v>0</v>
          </cell>
          <cell r="AA13">
            <v>-149.99</v>
          </cell>
          <cell r="AB13">
            <v>0</v>
          </cell>
          <cell r="AC13">
            <v>0</v>
          </cell>
          <cell r="AD13">
            <v>0</v>
          </cell>
          <cell r="AF13">
            <v>-47.026000000000067</v>
          </cell>
        </row>
        <row r="14">
          <cell r="A14" t="str">
            <v>ALZA</v>
          </cell>
          <cell r="B14" t="str">
            <v>A</v>
          </cell>
          <cell r="C14" t="str">
            <v>ALZ</v>
          </cell>
          <cell r="D14" t="str">
            <v>ALIZE</v>
          </cell>
          <cell r="F14">
            <v>31086.45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24264.93</v>
          </cell>
          <cell r="O14">
            <v>14440.035642321711</v>
          </cell>
          <cell r="P14">
            <v>31086.45</v>
          </cell>
          <cell r="Q14">
            <v>31086.45</v>
          </cell>
          <cell r="R14">
            <v>31086.45</v>
          </cell>
          <cell r="S14">
            <v>0</v>
          </cell>
          <cell r="T14">
            <v>-16646.414357678295</v>
          </cell>
          <cell r="U14">
            <v>-6821.52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-31086.45</v>
          </cell>
          <cell r="AB14">
            <v>0</v>
          </cell>
          <cell r="AC14">
            <v>0</v>
          </cell>
          <cell r="AD14">
            <v>0</v>
          </cell>
          <cell r="AF14">
            <v>-16646.414357678295</v>
          </cell>
        </row>
        <row r="15">
          <cell r="A15" t="str">
            <v>APNA</v>
          </cell>
          <cell r="B15" t="str">
            <v>A</v>
          </cell>
          <cell r="C15" t="str">
            <v>APN</v>
          </cell>
          <cell r="D15" t="str">
            <v>RAO APN</v>
          </cell>
          <cell r="F15">
            <v>281.24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410</v>
          </cell>
          <cell r="O15">
            <v>408.4074</v>
          </cell>
          <cell r="P15">
            <v>431.31200000000001</v>
          </cell>
          <cell r="Q15">
            <v>281.24</v>
          </cell>
          <cell r="R15">
            <v>281.24</v>
          </cell>
          <cell r="S15">
            <v>150.072</v>
          </cell>
          <cell r="T15">
            <v>-22.904599999999988</v>
          </cell>
          <cell r="U15">
            <v>-21.312000000000012</v>
          </cell>
          <cell r="V15">
            <v>0</v>
          </cell>
          <cell r="W15">
            <v>0</v>
          </cell>
          <cell r="X15">
            <v>0</v>
          </cell>
          <cell r="Y15">
            <v>370</v>
          </cell>
          <cell r="Z15">
            <v>0</v>
          </cell>
          <cell r="AA15">
            <v>-61.312000000000012</v>
          </cell>
          <cell r="AB15">
            <v>0</v>
          </cell>
          <cell r="AC15">
            <v>150.072</v>
          </cell>
          <cell r="AD15">
            <v>0</v>
          </cell>
          <cell r="AF15">
            <v>-22.904599999999988</v>
          </cell>
        </row>
        <row r="16">
          <cell r="A16" t="str">
            <v>ASCA</v>
          </cell>
          <cell r="B16" t="str">
            <v>A</v>
          </cell>
          <cell r="C16" t="str">
            <v>ASC</v>
          </cell>
          <cell r="D16" t="str">
            <v>ASIC</v>
          </cell>
          <cell r="F16">
            <v>2275.92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1214</v>
          </cell>
          <cell r="O16">
            <v>2004.36</v>
          </cell>
          <cell r="P16">
            <v>2275.92</v>
          </cell>
          <cell r="Q16">
            <v>2275.92</v>
          </cell>
          <cell r="R16">
            <v>2275.92</v>
          </cell>
          <cell r="S16">
            <v>0</v>
          </cell>
          <cell r="T16">
            <v>-271.56</v>
          </cell>
          <cell r="U16">
            <v>-1061.92</v>
          </cell>
          <cell r="V16">
            <v>0</v>
          </cell>
          <cell r="W16">
            <v>0</v>
          </cell>
          <cell r="X16">
            <v>0</v>
          </cell>
          <cell r="Y16">
            <v>2442</v>
          </cell>
          <cell r="Z16">
            <v>0</v>
          </cell>
          <cell r="AA16">
            <v>166.08</v>
          </cell>
          <cell r="AB16">
            <v>0</v>
          </cell>
          <cell r="AC16">
            <v>0</v>
          </cell>
          <cell r="AD16">
            <v>0</v>
          </cell>
          <cell r="AF16">
            <v>-271.56</v>
          </cell>
        </row>
        <row r="17">
          <cell r="A17" t="str">
            <v>ATSA</v>
          </cell>
          <cell r="B17" t="str">
            <v>A</v>
          </cell>
          <cell r="C17" t="str">
            <v>ATS</v>
          </cell>
          <cell r="D17" t="str">
            <v>RAO ATS</v>
          </cell>
          <cell r="F17">
            <v>51.58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275</v>
          </cell>
          <cell r="O17">
            <v>47</v>
          </cell>
          <cell r="P17">
            <v>51.58</v>
          </cell>
          <cell r="Q17">
            <v>51.58</v>
          </cell>
          <cell r="R17">
            <v>51.58</v>
          </cell>
          <cell r="S17">
            <v>0</v>
          </cell>
          <cell r="T17">
            <v>-4.58</v>
          </cell>
          <cell r="U17">
            <v>223.42</v>
          </cell>
          <cell r="V17">
            <v>0</v>
          </cell>
          <cell r="W17">
            <v>0</v>
          </cell>
          <cell r="X17">
            <v>0</v>
          </cell>
          <cell r="Y17">
            <v>275</v>
          </cell>
          <cell r="Z17">
            <v>0</v>
          </cell>
          <cell r="AA17">
            <v>223.42</v>
          </cell>
          <cell r="AB17">
            <v>0</v>
          </cell>
          <cell r="AC17">
            <v>0</v>
          </cell>
          <cell r="AD17">
            <v>0</v>
          </cell>
          <cell r="AF17">
            <v>-4.58</v>
          </cell>
        </row>
        <row r="18">
          <cell r="A18" t="str">
            <v>C13A</v>
          </cell>
          <cell r="B18" t="str">
            <v>A</v>
          </cell>
          <cell r="C18" t="str">
            <v>C13</v>
          </cell>
          <cell r="D18" t="str">
            <v>C130</v>
          </cell>
          <cell r="F18">
            <v>818.23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840</v>
          </cell>
          <cell r="O18">
            <v>840</v>
          </cell>
          <cell r="P18">
            <v>818.23</v>
          </cell>
          <cell r="Q18">
            <v>818.23</v>
          </cell>
          <cell r="R18">
            <v>818.23</v>
          </cell>
          <cell r="S18">
            <v>0</v>
          </cell>
          <cell r="T18">
            <v>21.77</v>
          </cell>
          <cell r="U18">
            <v>21.77</v>
          </cell>
          <cell r="V18">
            <v>0</v>
          </cell>
          <cell r="W18">
            <v>0</v>
          </cell>
          <cell r="X18">
            <v>0</v>
          </cell>
          <cell r="Y18">
            <v>840</v>
          </cell>
          <cell r="Z18">
            <v>0</v>
          </cell>
          <cell r="AA18">
            <v>21.77</v>
          </cell>
          <cell r="AB18">
            <v>0</v>
          </cell>
          <cell r="AC18">
            <v>0</v>
          </cell>
          <cell r="AD18">
            <v>0</v>
          </cell>
          <cell r="AF18">
            <v>21.77</v>
          </cell>
        </row>
        <row r="19">
          <cell r="A19" t="str">
            <v>DAPA</v>
          </cell>
          <cell r="B19" t="str">
            <v>A</v>
          </cell>
          <cell r="C19" t="str">
            <v>DAP</v>
          </cell>
          <cell r="D19" t="str">
            <v>DIVERS APN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100</v>
          </cell>
          <cell r="V19">
            <v>0</v>
          </cell>
          <cell r="W19">
            <v>0</v>
          </cell>
          <cell r="X19">
            <v>0</v>
          </cell>
          <cell r="Y19">
            <v>100</v>
          </cell>
          <cell r="Z19">
            <v>0</v>
          </cell>
          <cell r="AA19">
            <v>100</v>
          </cell>
          <cell r="AB19">
            <v>0</v>
          </cell>
          <cell r="AC19">
            <v>0</v>
          </cell>
          <cell r="AD19">
            <v>0</v>
          </cell>
          <cell r="AF19">
            <v>0</v>
          </cell>
        </row>
        <row r="20">
          <cell r="A20" t="str">
            <v>DARA</v>
          </cell>
          <cell r="B20" t="str">
            <v>A</v>
          </cell>
          <cell r="C20" t="str">
            <v>DAR</v>
          </cell>
          <cell r="D20" t="str">
            <v>DIVERS ARA</v>
          </cell>
          <cell r="F20">
            <v>1267.3800000000001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341</v>
          </cell>
          <cell r="O20">
            <v>1054.7395920353983</v>
          </cell>
          <cell r="P20">
            <v>1267.3800000000001</v>
          </cell>
          <cell r="Q20">
            <v>1267.3800000000001</v>
          </cell>
          <cell r="R20">
            <v>1267.3800000000001</v>
          </cell>
          <cell r="S20">
            <v>0</v>
          </cell>
          <cell r="T20">
            <v>-212.64040796460171</v>
          </cell>
          <cell r="U20">
            <v>-926.38</v>
          </cell>
          <cell r="V20">
            <v>0</v>
          </cell>
          <cell r="W20">
            <v>0</v>
          </cell>
          <cell r="X20">
            <v>0</v>
          </cell>
          <cell r="Y20">
            <v>341</v>
          </cell>
          <cell r="Z20">
            <v>0</v>
          </cell>
          <cell r="AA20">
            <v>-926.38</v>
          </cell>
          <cell r="AB20">
            <v>0</v>
          </cell>
          <cell r="AC20">
            <v>0</v>
          </cell>
          <cell r="AD20">
            <v>0</v>
          </cell>
          <cell r="AF20">
            <v>-212.64040796460171</v>
          </cell>
        </row>
        <row r="21">
          <cell r="A21" t="str">
            <v>DDEA</v>
          </cell>
          <cell r="B21" t="str">
            <v>A</v>
          </cell>
          <cell r="C21" t="str">
            <v>DDE</v>
          </cell>
          <cell r="D21" t="str">
            <v>TRVX POUR DES</v>
          </cell>
          <cell r="F21">
            <v>476.84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710</v>
          </cell>
          <cell r="O21">
            <v>713.01199999999994</v>
          </cell>
          <cell r="P21">
            <v>476.84</v>
          </cell>
          <cell r="Q21">
            <v>476.84</v>
          </cell>
          <cell r="R21">
            <v>476.84</v>
          </cell>
          <cell r="S21">
            <v>0</v>
          </cell>
          <cell r="T21">
            <v>236.172</v>
          </cell>
          <cell r="U21">
            <v>233.16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-476.84</v>
          </cell>
          <cell r="AB21">
            <v>0</v>
          </cell>
          <cell r="AC21">
            <v>0</v>
          </cell>
          <cell r="AD21">
            <v>0</v>
          </cell>
          <cell r="AF21">
            <v>236.172</v>
          </cell>
        </row>
        <row r="22">
          <cell r="A22" t="str">
            <v>DH4A</v>
          </cell>
          <cell r="B22" t="str">
            <v>A</v>
          </cell>
          <cell r="C22" t="str">
            <v>DH4</v>
          </cell>
          <cell r="D22" t="str">
            <v>DASH8-WP14</v>
          </cell>
          <cell r="E22">
            <v>508</v>
          </cell>
          <cell r="F22">
            <v>14051.27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19320</v>
          </cell>
          <cell r="O22">
            <v>17982.204199999996</v>
          </cell>
          <cell r="P22">
            <v>14051.27</v>
          </cell>
          <cell r="Q22">
            <v>14051.27</v>
          </cell>
          <cell r="R22">
            <v>14051.27</v>
          </cell>
          <cell r="S22">
            <v>0</v>
          </cell>
          <cell r="T22">
            <v>3930.9341999999997</v>
          </cell>
          <cell r="U22">
            <v>5268.73</v>
          </cell>
          <cell r="V22">
            <v>0</v>
          </cell>
          <cell r="W22">
            <v>0</v>
          </cell>
          <cell r="X22">
            <v>0</v>
          </cell>
          <cell r="Y22">
            <v>18822</v>
          </cell>
          <cell r="Z22">
            <v>0</v>
          </cell>
          <cell r="AA22">
            <v>4770.7299999999996</v>
          </cell>
          <cell r="AB22">
            <v>0</v>
          </cell>
          <cell r="AC22">
            <v>0</v>
          </cell>
          <cell r="AD22">
            <v>0</v>
          </cell>
          <cell r="AE22">
            <v>143.44999999999999</v>
          </cell>
          <cell r="AF22">
            <v>3736.8142000000007</v>
          </cell>
        </row>
        <row r="23">
          <cell r="A23" t="str">
            <v>DHXA</v>
          </cell>
          <cell r="B23" t="str">
            <v>A</v>
          </cell>
          <cell r="C23" t="str">
            <v>DHX</v>
          </cell>
          <cell r="D23" t="str">
            <v>DASH8-AUTRES</v>
          </cell>
          <cell r="E23">
            <v>4750</v>
          </cell>
          <cell r="F23">
            <v>11729.67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10622</v>
          </cell>
          <cell r="O23">
            <v>11205.653700167997</v>
          </cell>
          <cell r="P23">
            <v>11729.67</v>
          </cell>
          <cell r="Q23">
            <v>11729.67</v>
          </cell>
          <cell r="R23">
            <v>11729.67</v>
          </cell>
          <cell r="S23">
            <v>0</v>
          </cell>
          <cell r="T23">
            <v>-524.01629983199939</v>
          </cell>
          <cell r="U23">
            <v>-1107.67</v>
          </cell>
          <cell r="V23">
            <v>0</v>
          </cell>
          <cell r="W23">
            <v>0</v>
          </cell>
          <cell r="X23">
            <v>0</v>
          </cell>
          <cell r="Y23">
            <v>14965</v>
          </cell>
          <cell r="Z23">
            <v>0</v>
          </cell>
          <cell r="AA23">
            <v>3235.33</v>
          </cell>
          <cell r="AB23">
            <v>0</v>
          </cell>
          <cell r="AC23">
            <v>0</v>
          </cell>
          <cell r="AD23">
            <v>0</v>
          </cell>
          <cell r="AE23">
            <v>32.989999999999782</v>
          </cell>
          <cell r="AF23">
            <v>-93.602299999999644</v>
          </cell>
        </row>
        <row r="24">
          <cell r="A24" t="str">
            <v>DIHA</v>
          </cell>
          <cell r="B24" t="str">
            <v>A</v>
          </cell>
          <cell r="C24" t="str">
            <v>DIH</v>
          </cell>
          <cell r="D24" t="str">
            <v>TRVX POUR IHM</v>
          </cell>
          <cell r="F24">
            <v>270.74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230</v>
          </cell>
          <cell r="O24">
            <v>223.28</v>
          </cell>
          <cell r="P24">
            <v>270.74</v>
          </cell>
          <cell r="Q24">
            <v>270.74</v>
          </cell>
          <cell r="R24">
            <v>270.74</v>
          </cell>
          <cell r="S24">
            <v>0</v>
          </cell>
          <cell r="T24">
            <v>-47.46</v>
          </cell>
          <cell r="U24">
            <v>-40.74</v>
          </cell>
          <cell r="V24">
            <v>0</v>
          </cell>
          <cell r="W24">
            <v>0</v>
          </cell>
          <cell r="X24">
            <v>0</v>
          </cell>
          <cell r="Y24">
            <v>230</v>
          </cell>
          <cell r="Z24">
            <v>0</v>
          </cell>
          <cell r="AA24">
            <v>-40.74</v>
          </cell>
          <cell r="AB24">
            <v>0</v>
          </cell>
          <cell r="AC24">
            <v>0</v>
          </cell>
          <cell r="AD24">
            <v>0</v>
          </cell>
          <cell r="AF24">
            <v>-47.46</v>
          </cell>
        </row>
        <row r="25">
          <cell r="A25" t="str">
            <v>DNAA</v>
          </cell>
          <cell r="B25" t="str">
            <v>A</v>
          </cell>
          <cell r="C25" t="str">
            <v>DNA</v>
          </cell>
          <cell r="D25" t="str">
            <v>DIVERS NAV</v>
          </cell>
          <cell r="F25">
            <v>131.51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141</v>
          </cell>
          <cell r="O25">
            <v>140.464</v>
          </cell>
          <cell r="P25">
            <v>131.51</v>
          </cell>
          <cell r="Q25">
            <v>131.51</v>
          </cell>
          <cell r="R25">
            <v>131.51</v>
          </cell>
          <cell r="S25">
            <v>0</v>
          </cell>
          <cell r="T25">
            <v>8.9540000000000077</v>
          </cell>
          <cell r="U25">
            <v>9.4900000000000091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-131.51</v>
          </cell>
          <cell r="AB25">
            <v>0</v>
          </cell>
          <cell r="AC25">
            <v>0</v>
          </cell>
          <cell r="AD25">
            <v>0</v>
          </cell>
          <cell r="AF25">
            <v>8.9540000000000077</v>
          </cell>
        </row>
        <row r="26">
          <cell r="A26" t="str">
            <v>DSUA</v>
          </cell>
          <cell r="B26" t="str">
            <v>A</v>
          </cell>
          <cell r="C26" t="str">
            <v>DSU</v>
          </cell>
          <cell r="D26" t="str">
            <v>DIVERS SSU</v>
          </cell>
          <cell r="F26">
            <v>36.049999999999997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60</v>
          </cell>
          <cell r="O26">
            <v>55.35</v>
          </cell>
          <cell r="P26">
            <v>36.049999999999997</v>
          </cell>
          <cell r="Q26">
            <v>36.049999999999997</v>
          </cell>
          <cell r="R26">
            <v>36.049999999999997</v>
          </cell>
          <cell r="S26">
            <v>0</v>
          </cell>
          <cell r="T26">
            <v>19.3</v>
          </cell>
          <cell r="U26">
            <v>23.95</v>
          </cell>
          <cell r="V26">
            <v>0</v>
          </cell>
          <cell r="W26">
            <v>0</v>
          </cell>
          <cell r="X26">
            <v>0</v>
          </cell>
          <cell r="Y26">
            <v>60</v>
          </cell>
          <cell r="Z26">
            <v>0</v>
          </cell>
          <cell r="AA26">
            <v>23.95</v>
          </cell>
          <cell r="AB26">
            <v>0</v>
          </cell>
          <cell r="AC26">
            <v>0</v>
          </cell>
          <cell r="AD26">
            <v>0</v>
          </cell>
          <cell r="AF26">
            <v>19.3</v>
          </cell>
        </row>
        <row r="27">
          <cell r="A27" t="str">
            <v>DTSA</v>
          </cell>
          <cell r="B27" t="str">
            <v>A</v>
          </cell>
          <cell r="C27" t="str">
            <v>DTS</v>
          </cell>
          <cell r="D27" t="str">
            <v>DIVERS ATS</v>
          </cell>
          <cell r="F27">
            <v>52.3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50</v>
          </cell>
          <cell r="O27">
            <v>19.71</v>
          </cell>
          <cell r="P27">
            <v>52.3</v>
          </cell>
          <cell r="Q27">
            <v>52.3</v>
          </cell>
          <cell r="R27">
            <v>52.3</v>
          </cell>
          <cell r="S27">
            <v>0</v>
          </cell>
          <cell r="T27">
            <v>-32.590000000000003</v>
          </cell>
          <cell r="U27">
            <v>-2.2999999999999998</v>
          </cell>
          <cell r="V27">
            <v>0</v>
          </cell>
          <cell r="W27">
            <v>0</v>
          </cell>
          <cell r="X27">
            <v>0</v>
          </cell>
          <cell r="Y27">
            <v>50</v>
          </cell>
          <cell r="Z27">
            <v>0</v>
          </cell>
          <cell r="AA27">
            <v>-2.2999999999999998</v>
          </cell>
          <cell r="AB27">
            <v>0</v>
          </cell>
          <cell r="AC27">
            <v>0</v>
          </cell>
          <cell r="AD27">
            <v>0</v>
          </cell>
          <cell r="AF27">
            <v>-32.590000000000003</v>
          </cell>
        </row>
        <row r="28">
          <cell r="A28" t="str">
            <v>EAAA</v>
          </cell>
          <cell r="B28" t="str">
            <v>A</v>
          </cell>
          <cell r="C28" t="str">
            <v>EAA</v>
          </cell>
          <cell r="D28" t="str">
            <v>ETUDES AAE</v>
          </cell>
          <cell r="E28">
            <v>45</v>
          </cell>
          <cell r="F28">
            <v>2405.88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2298</v>
          </cell>
          <cell r="O28">
            <v>2433.44</v>
          </cell>
          <cell r="P28">
            <v>2405.88</v>
          </cell>
          <cell r="Q28">
            <v>2405.88</v>
          </cell>
          <cell r="R28">
            <v>2405.88</v>
          </cell>
          <cell r="S28">
            <v>0</v>
          </cell>
          <cell r="T28">
            <v>27.56</v>
          </cell>
          <cell r="U28">
            <v>-107.88</v>
          </cell>
          <cell r="V28">
            <v>0</v>
          </cell>
          <cell r="W28">
            <v>0</v>
          </cell>
          <cell r="X28">
            <v>0</v>
          </cell>
          <cell r="Y28">
            <v>2298</v>
          </cell>
          <cell r="Z28">
            <v>0</v>
          </cell>
          <cell r="AA28">
            <v>-107.88</v>
          </cell>
          <cell r="AB28">
            <v>0</v>
          </cell>
          <cell r="AC28">
            <v>0</v>
          </cell>
          <cell r="AD28">
            <v>0</v>
          </cell>
          <cell r="AE28">
            <v>17.03</v>
          </cell>
          <cell r="AF28">
            <v>10.53</v>
          </cell>
        </row>
        <row r="29">
          <cell r="A29" t="str">
            <v>EAPA</v>
          </cell>
          <cell r="B29" t="str">
            <v>A</v>
          </cell>
          <cell r="C29" t="str">
            <v>EAP</v>
          </cell>
          <cell r="D29" t="str">
            <v>ETUDES APN</v>
          </cell>
          <cell r="F29">
            <v>1149.0999999999999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1191</v>
          </cell>
          <cell r="O29">
            <v>1198.5720000000001</v>
          </cell>
          <cell r="P29">
            <v>1199.2720000000002</v>
          </cell>
          <cell r="Q29">
            <v>1149.0999999999999</v>
          </cell>
          <cell r="R29">
            <v>1149.0999999999999</v>
          </cell>
          <cell r="S29">
            <v>50.171999999999997</v>
          </cell>
          <cell r="T29">
            <v>-0.70000000000004547</v>
          </cell>
          <cell r="U29">
            <v>-8.2720000000001619</v>
          </cell>
          <cell r="V29">
            <v>0</v>
          </cell>
          <cell r="W29">
            <v>0</v>
          </cell>
          <cell r="X29">
            <v>0</v>
          </cell>
          <cell r="Y29">
            <v>1191</v>
          </cell>
          <cell r="Z29">
            <v>0</v>
          </cell>
          <cell r="AA29">
            <v>-8.2720000000001619</v>
          </cell>
          <cell r="AB29">
            <v>0</v>
          </cell>
          <cell r="AC29">
            <v>50.171999999999997</v>
          </cell>
          <cell r="AD29">
            <v>0</v>
          </cell>
          <cell r="AF29">
            <v>-0.70000000000004547</v>
          </cell>
        </row>
        <row r="30">
          <cell r="A30" t="str">
            <v>EHEA</v>
          </cell>
          <cell r="B30" t="str">
            <v>A</v>
          </cell>
          <cell r="C30" t="str">
            <v>EHE</v>
          </cell>
          <cell r="D30" t="str">
            <v>ETUDES HEL</v>
          </cell>
          <cell r="F30">
            <v>142.47999999999999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317</v>
          </cell>
          <cell r="O30">
            <v>319.41000000000003</v>
          </cell>
          <cell r="P30">
            <v>142.47999999999999</v>
          </cell>
          <cell r="Q30">
            <v>142.47999999999999</v>
          </cell>
          <cell r="R30">
            <v>142.47999999999999</v>
          </cell>
          <cell r="S30">
            <v>0</v>
          </cell>
          <cell r="T30">
            <v>176.93</v>
          </cell>
          <cell r="U30">
            <v>174.52</v>
          </cell>
          <cell r="V30">
            <v>0</v>
          </cell>
          <cell r="W30">
            <v>0</v>
          </cell>
          <cell r="X30">
            <v>0</v>
          </cell>
          <cell r="Y30">
            <v>295</v>
          </cell>
          <cell r="Z30">
            <v>0</v>
          </cell>
          <cell r="AA30">
            <v>152.52000000000001</v>
          </cell>
          <cell r="AB30">
            <v>0</v>
          </cell>
          <cell r="AC30">
            <v>0</v>
          </cell>
          <cell r="AD30">
            <v>0</v>
          </cell>
          <cell r="AF30">
            <v>176.93</v>
          </cell>
        </row>
        <row r="31">
          <cell r="A31" t="str">
            <v>FADA</v>
          </cell>
          <cell r="B31" t="str">
            <v>A</v>
          </cell>
          <cell r="C31" t="str">
            <v>FAD</v>
          </cell>
          <cell r="D31" t="str">
            <v>FADEC</v>
          </cell>
          <cell r="E31">
            <v>226</v>
          </cell>
          <cell r="F31">
            <v>1091.98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1025</v>
          </cell>
          <cell r="O31">
            <v>1134.0509999999999</v>
          </cell>
          <cell r="P31">
            <v>1091.98</v>
          </cell>
          <cell r="Q31">
            <v>1091.98</v>
          </cell>
          <cell r="R31">
            <v>1091.98</v>
          </cell>
          <cell r="S31">
            <v>0</v>
          </cell>
          <cell r="T31">
            <v>42.071000000000033</v>
          </cell>
          <cell r="U31">
            <v>-66.98</v>
          </cell>
          <cell r="V31">
            <v>0</v>
          </cell>
          <cell r="W31">
            <v>0</v>
          </cell>
          <cell r="X31">
            <v>0</v>
          </cell>
          <cell r="Y31">
            <v>6247</v>
          </cell>
          <cell r="Z31">
            <v>0</v>
          </cell>
          <cell r="AA31">
            <v>5155.0200000000004</v>
          </cell>
          <cell r="AB31">
            <v>0</v>
          </cell>
          <cell r="AC31">
            <v>0</v>
          </cell>
          <cell r="AD31">
            <v>0</v>
          </cell>
          <cell r="AE31">
            <v>38.28</v>
          </cell>
          <cell r="AF31">
            <v>4.8750000000000213</v>
          </cell>
        </row>
        <row r="32">
          <cell r="A32" t="str">
            <v>FM1A</v>
          </cell>
          <cell r="B32" t="str">
            <v>A</v>
          </cell>
          <cell r="C32" t="str">
            <v>FM1</v>
          </cell>
          <cell r="D32" t="str">
            <v>FMC1</v>
          </cell>
          <cell r="F32">
            <v>177.04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-12.14</v>
          </cell>
          <cell r="L32">
            <v>0</v>
          </cell>
          <cell r="M32">
            <v>0</v>
          </cell>
          <cell r="N32">
            <v>50</v>
          </cell>
          <cell r="O32">
            <v>0</v>
          </cell>
          <cell r="P32">
            <v>164.9</v>
          </cell>
          <cell r="Q32">
            <v>177.04</v>
          </cell>
          <cell r="R32">
            <v>164.9</v>
          </cell>
          <cell r="S32">
            <v>-12.14</v>
          </cell>
          <cell r="T32">
            <v>-164.9</v>
          </cell>
          <cell r="U32">
            <v>-114.9</v>
          </cell>
          <cell r="V32">
            <v>0</v>
          </cell>
          <cell r="W32">
            <v>0</v>
          </cell>
          <cell r="X32">
            <v>0</v>
          </cell>
          <cell r="Y32">
            <v>50</v>
          </cell>
          <cell r="Z32">
            <v>0</v>
          </cell>
          <cell r="AA32">
            <v>-114.9</v>
          </cell>
          <cell r="AB32">
            <v>-12.14</v>
          </cell>
          <cell r="AC32">
            <v>0</v>
          </cell>
          <cell r="AD32">
            <v>12.14</v>
          </cell>
          <cell r="AF32">
            <v>-164.9</v>
          </cell>
        </row>
        <row r="33">
          <cell r="A33" t="str">
            <v>GEXA</v>
          </cell>
          <cell r="B33" t="str">
            <v>A</v>
          </cell>
          <cell r="C33" t="str">
            <v>GEX</v>
          </cell>
          <cell r="D33" t="str">
            <v>GEX</v>
          </cell>
          <cell r="E33">
            <v>3170</v>
          </cell>
          <cell r="F33">
            <v>45711.53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-1.459999999999809</v>
          </cell>
          <cell r="L33">
            <v>0</v>
          </cell>
          <cell r="M33">
            <v>0</v>
          </cell>
          <cell r="N33">
            <v>36085</v>
          </cell>
          <cell r="O33">
            <v>38901.960554778765</v>
          </cell>
          <cell r="P33">
            <v>45728.47</v>
          </cell>
          <cell r="Q33">
            <v>45711.53</v>
          </cell>
          <cell r="R33">
            <v>45588.19</v>
          </cell>
          <cell r="S33">
            <v>-1.459999999999809</v>
          </cell>
          <cell r="T33">
            <v>-6826.5094452212361</v>
          </cell>
          <cell r="U33">
            <v>-9643.4699999999993</v>
          </cell>
          <cell r="V33">
            <v>0</v>
          </cell>
          <cell r="W33">
            <v>0</v>
          </cell>
          <cell r="X33">
            <v>0</v>
          </cell>
          <cell r="Y33">
            <v>35964</v>
          </cell>
          <cell r="Z33">
            <v>5793</v>
          </cell>
          <cell r="AA33">
            <v>-9764.4699999999993</v>
          </cell>
          <cell r="AB33">
            <v>-123.34</v>
          </cell>
          <cell r="AC33">
            <v>0</v>
          </cell>
          <cell r="AD33">
            <v>123.34</v>
          </cell>
          <cell r="AE33">
            <v>-5065.79</v>
          </cell>
          <cell r="AF33">
            <v>-6178.7194452212352</v>
          </cell>
        </row>
        <row r="34">
          <cell r="A34" t="str">
            <v>HELA</v>
          </cell>
          <cell r="B34" t="str">
            <v>A</v>
          </cell>
          <cell r="C34" t="str">
            <v>HEL</v>
          </cell>
          <cell r="D34" t="str">
            <v>RAO HEL</v>
          </cell>
          <cell r="F34">
            <v>36.36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50</v>
          </cell>
          <cell r="O34">
            <v>69</v>
          </cell>
          <cell r="P34">
            <v>36.36</v>
          </cell>
          <cell r="Q34">
            <v>36.36</v>
          </cell>
          <cell r="R34">
            <v>36.36</v>
          </cell>
          <cell r="S34">
            <v>0</v>
          </cell>
          <cell r="T34">
            <v>32.64</v>
          </cell>
          <cell r="U34">
            <v>13.64</v>
          </cell>
          <cell r="V34">
            <v>0</v>
          </cell>
          <cell r="W34">
            <v>0</v>
          </cell>
          <cell r="X34">
            <v>0</v>
          </cell>
          <cell r="Y34">
            <v>50</v>
          </cell>
          <cell r="Z34">
            <v>0</v>
          </cell>
          <cell r="AA34">
            <v>13.64</v>
          </cell>
          <cell r="AB34">
            <v>0</v>
          </cell>
          <cell r="AC34">
            <v>0</v>
          </cell>
          <cell r="AD34">
            <v>0</v>
          </cell>
          <cell r="AF34">
            <v>32.64</v>
          </cell>
        </row>
        <row r="35">
          <cell r="A35" t="str">
            <v>ID3A</v>
          </cell>
          <cell r="B35" t="str">
            <v>A</v>
          </cell>
          <cell r="C35" t="str">
            <v>ID3</v>
          </cell>
          <cell r="D35" t="str">
            <v>DTP IDEE3</v>
          </cell>
          <cell r="E35">
            <v>898</v>
          </cell>
          <cell r="F35">
            <v>12757.95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12771</v>
          </cell>
          <cell r="O35">
            <v>12870.048000000001</v>
          </cell>
          <cell r="P35">
            <v>12757.95</v>
          </cell>
          <cell r="Q35">
            <v>12757.95</v>
          </cell>
          <cell r="R35">
            <v>12757.95</v>
          </cell>
          <cell r="S35">
            <v>0</v>
          </cell>
          <cell r="T35">
            <v>112.09800000000024</v>
          </cell>
          <cell r="U35">
            <v>13.050000000001091</v>
          </cell>
          <cell r="V35">
            <v>0</v>
          </cell>
          <cell r="W35">
            <v>0</v>
          </cell>
          <cell r="X35">
            <v>0</v>
          </cell>
          <cell r="Y35">
            <v>12543</v>
          </cell>
          <cell r="Z35">
            <v>11676</v>
          </cell>
          <cell r="AA35">
            <v>-214.94999999999891</v>
          </cell>
          <cell r="AB35">
            <v>0</v>
          </cell>
          <cell r="AC35">
            <v>0</v>
          </cell>
          <cell r="AD35">
            <v>0</v>
          </cell>
          <cell r="AE35">
            <v>-136.91999999999999</v>
          </cell>
          <cell r="AF35">
            <v>163.01800000000031</v>
          </cell>
        </row>
        <row r="36">
          <cell r="A36" t="str">
            <v>JETA</v>
          </cell>
          <cell r="B36" t="str">
            <v>A</v>
          </cell>
          <cell r="C36" t="str">
            <v>JET</v>
          </cell>
          <cell r="D36" t="str">
            <v>AIRJET</v>
          </cell>
          <cell r="F36">
            <v>35.520000000000003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35</v>
          </cell>
          <cell r="O36">
            <v>0</v>
          </cell>
          <cell r="P36">
            <v>35.520000000000003</v>
          </cell>
          <cell r="Q36">
            <v>35.520000000000003</v>
          </cell>
          <cell r="R36">
            <v>35.520000000000003</v>
          </cell>
          <cell r="S36">
            <v>0</v>
          </cell>
          <cell r="T36">
            <v>-35.520000000000003</v>
          </cell>
          <cell r="U36">
            <v>-0.52000000000000313</v>
          </cell>
          <cell r="V36">
            <v>0</v>
          </cell>
          <cell r="W36">
            <v>0</v>
          </cell>
          <cell r="X36">
            <v>0</v>
          </cell>
          <cell r="Y36">
            <v>35</v>
          </cell>
          <cell r="Z36">
            <v>0</v>
          </cell>
          <cell r="AA36">
            <v>-0.52000000000000313</v>
          </cell>
          <cell r="AB36">
            <v>0</v>
          </cell>
          <cell r="AC36">
            <v>0</v>
          </cell>
          <cell r="AD36">
            <v>0</v>
          </cell>
          <cell r="AF36">
            <v>-35.520000000000003</v>
          </cell>
        </row>
        <row r="37">
          <cell r="A37" t="str">
            <v>MIRA</v>
          </cell>
          <cell r="B37" t="str">
            <v>A</v>
          </cell>
          <cell r="C37" t="str">
            <v>MIR</v>
          </cell>
          <cell r="D37" t="str">
            <v>MIRAGE</v>
          </cell>
          <cell r="E37">
            <v>234</v>
          </cell>
          <cell r="F37">
            <v>4547.47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4254.8</v>
          </cell>
          <cell r="O37">
            <v>4175.8420000000006</v>
          </cell>
          <cell r="P37">
            <v>4547.47</v>
          </cell>
          <cell r="Q37">
            <v>4547.47</v>
          </cell>
          <cell r="R37">
            <v>4547.47</v>
          </cell>
          <cell r="S37">
            <v>0</v>
          </cell>
          <cell r="T37">
            <v>-371.62799999999993</v>
          </cell>
          <cell r="U37">
            <v>-292.67000000000098</v>
          </cell>
          <cell r="V37">
            <v>0</v>
          </cell>
          <cell r="W37">
            <v>0</v>
          </cell>
          <cell r="X37">
            <v>0</v>
          </cell>
          <cell r="Y37">
            <v>4148</v>
          </cell>
          <cell r="Z37">
            <v>0</v>
          </cell>
          <cell r="AA37">
            <v>-399.47000000000116</v>
          </cell>
          <cell r="AB37">
            <v>0</v>
          </cell>
          <cell r="AC37">
            <v>0</v>
          </cell>
          <cell r="AD37">
            <v>0</v>
          </cell>
          <cell r="AE37">
            <v>70.819999999999993</v>
          </cell>
          <cell r="AF37">
            <v>-442.44799999999992</v>
          </cell>
        </row>
        <row r="38">
          <cell r="A38" t="str">
            <v>NH9A</v>
          </cell>
          <cell r="B38" t="str">
            <v>A</v>
          </cell>
          <cell r="C38" t="str">
            <v>NH9</v>
          </cell>
          <cell r="D38" t="str">
            <v>NH90</v>
          </cell>
          <cell r="F38">
            <v>2315.9299999999998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1773</v>
          </cell>
          <cell r="O38">
            <v>1761.0119999999999</v>
          </cell>
          <cell r="P38">
            <v>2315.9299999999998</v>
          </cell>
          <cell r="Q38">
            <v>2315.9299999999998</v>
          </cell>
          <cell r="R38">
            <v>2315.9299999999998</v>
          </cell>
          <cell r="S38">
            <v>0</v>
          </cell>
          <cell r="T38">
            <v>-554.91800000000023</v>
          </cell>
          <cell r="U38">
            <v>-542.92999999999995</v>
          </cell>
          <cell r="V38">
            <v>0</v>
          </cell>
          <cell r="W38">
            <v>0</v>
          </cell>
          <cell r="X38">
            <v>0</v>
          </cell>
          <cell r="Y38">
            <v>1773</v>
          </cell>
          <cell r="Z38">
            <v>0</v>
          </cell>
          <cell r="AA38">
            <v>-542.92999999999995</v>
          </cell>
          <cell r="AB38">
            <v>0</v>
          </cell>
          <cell r="AC38">
            <v>0</v>
          </cell>
          <cell r="AD38">
            <v>0</v>
          </cell>
          <cell r="AF38">
            <v>-554.91800000000023</v>
          </cell>
        </row>
        <row r="39">
          <cell r="A39" t="str">
            <v>NMRA</v>
          </cell>
          <cell r="B39" t="str">
            <v>A</v>
          </cell>
          <cell r="C39" t="str">
            <v>NMR</v>
          </cell>
          <cell r="D39" t="str">
            <v>NIMROD</v>
          </cell>
          <cell r="F39">
            <v>111.3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380</v>
          </cell>
          <cell r="O39">
            <v>363.30039999999997</v>
          </cell>
          <cell r="P39">
            <v>111.3</v>
          </cell>
          <cell r="Q39">
            <v>111.3</v>
          </cell>
          <cell r="R39">
            <v>111.3</v>
          </cell>
          <cell r="S39">
            <v>0</v>
          </cell>
          <cell r="T39">
            <v>252.00039999999996</v>
          </cell>
          <cell r="U39">
            <v>268.7</v>
          </cell>
          <cell r="V39">
            <v>0</v>
          </cell>
          <cell r="W39">
            <v>0</v>
          </cell>
          <cell r="X39">
            <v>0</v>
          </cell>
          <cell r="Y39">
            <v>380</v>
          </cell>
          <cell r="Z39">
            <v>0</v>
          </cell>
          <cell r="AA39">
            <v>268.7</v>
          </cell>
          <cell r="AB39">
            <v>0</v>
          </cell>
          <cell r="AC39">
            <v>0</v>
          </cell>
          <cell r="AD39">
            <v>0</v>
          </cell>
          <cell r="AF39">
            <v>252.00039999999996</v>
          </cell>
        </row>
        <row r="40">
          <cell r="A40" t="str">
            <v>OBSA</v>
          </cell>
          <cell r="B40" t="str">
            <v>A</v>
          </cell>
          <cell r="C40" t="str">
            <v>OBS</v>
          </cell>
          <cell r="D40" t="str">
            <v>OBSOLESCENCE</v>
          </cell>
          <cell r="F40">
            <v>1220.03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-8.5700000000000216</v>
          </cell>
          <cell r="L40">
            <v>0</v>
          </cell>
          <cell r="M40">
            <v>0</v>
          </cell>
          <cell r="N40">
            <v>989</v>
          </cell>
          <cell r="O40">
            <v>2636.6246700000002</v>
          </cell>
          <cell r="P40">
            <v>1211.46</v>
          </cell>
          <cell r="Q40">
            <v>1220.03</v>
          </cell>
          <cell r="R40">
            <v>1211.46</v>
          </cell>
          <cell r="S40">
            <v>-8.5700000000000216</v>
          </cell>
          <cell r="T40">
            <v>1425.1646700000001</v>
          </cell>
          <cell r="U40">
            <v>-222.46</v>
          </cell>
          <cell r="V40">
            <v>0</v>
          </cell>
          <cell r="W40">
            <v>0</v>
          </cell>
          <cell r="X40">
            <v>0</v>
          </cell>
          <cell r="Y40">
            <v>2000</v>
          </cell>
          <cell r="Z40">
            <v>0</v>
          </cell>
          <cell r="AA40">
            <v>788.54</v>
          </cell>
          <cell r="AB40">
            <v>-8.5700000000000216</v>
          </cell>
          <cell r="AC40">
            <v>0</v>
          </cell>
          <cell r="AD40">
            <v>8.5700000000000216</v>
          </cell>
          <cell r="AF40">
            <v>1425.1646700000001</v>
          </cell>
        </row>
        <row r="41">
          <cell r="A41" t="str">
            <v>PRTA</v>
          </cell>
          <cell r="B41" t="str">
            <v>A</v>
          </cell>
          <cell r="C41" t="str">
            <v>PRT</v>
          </cell>
          <cell r="D41" t="str">
            <v>PRINTER</v>
          </cell>
          <cell r="F41">
            <v>162.74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125</v>
          </cell>
          <cell r="O41">
            <v>125</v>
          </cell>
          <cell r="P41">
            <v>162.74</v>
          </cell>
          <cell r="Q41">
            <v>162.74</v>
          </cell>
          <cell r="R41">
            <v>162.74</v>
          </cell>
          <cell r="S41">
            <v>0</v>
          </cell>
          <cell r="T41">
            <v>-37.74</v>
          </cell>
          <cell r="U41">
            <v>-37.74</v>
          </cell>
          <cell r="V41">
            <v>0</v>
          </cell>
          <cell r="W41">
            <v>0</v>
          </cell>
          <cell r="X41">
            <v>0</v>
          </cell>
          <cell r="Y41">
            <v>125</v>
          </cell>
          <cell r="Z41">
            <v>0</v>
          </cell>
          <cell r="AA41">
            <v>-37.74</v>
          </cell>
          <cell r="AB41">
            <v>0</v>
          </cell>
          <cell r="AC41">
            <v>0</v>
          </cell>
          <cell r="AD41">
            <v>0</v>
          </cell>
          <cell r="AF41">
            <v>-37.74</v>
          </cell>
        </row>
        <row r="42">
          <cell r="A42" t="str">
            <v>PZLA</v>
          </cell>
          <cell r="B42" t="str">
            <v>A</v>
          </cell>
          <cell r="C42" t="str">
            <v>PZL</v>
          </cell>
          <cell r="D42" t="str">
            <v>PZL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724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724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F42">
            <v>0</v>
          </cell>
        </row>
        <row r="43">
          <cell r="A43" t="str">
            <v>RAFA</v>
          </cell>
          <cell r="B43" t="str">
            <v>A</v>
          </cell>
          <cell r="C43" t="str">
            <v>RAF</v>
          </cell>
          <cell r="D43" t="str">
            <v>RAFALE</v>
          </cell>
          <cell r="F43">
            <v>9335.2800000000007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8855</v>
          </cell>
          <cell r="O43">
            <v>9163.7259663716832</v>
          </cell>
          <cell r="P43">
            <v>9335.2800000000007</v>
          </cell>
          <cell r="Q43">
            <v>9335.2800000000007</v>
          </cell>
          <cell r="R43">
            <v>9335.2800000000007</v>
          </cell>
          <cell r="S43">
            <v>0</v>
          </cell>
          <cell r="T43">
            <v>-171.55403362831814</v>
          </cell>
          <cell r="U43">
            <v>-480.27999999999884</v>
          </cell>
          <cell r="V43">
            <v>0</v>
          </cell>
          <cell r="W43">
            <v>0</v>
          </cell>
          <cell r="X43">
            <v>0</v>
          </cell>
          <cell r="Y43">
            <v>8725</v>
          </cell>
          <cell r="Z43">
            <v>0</v>
          </cell>
          <cell r="AA43">
            <v>-610.27999999999884</v>
          </cell>
          <cell r="AB43">
            <v>0</v>
          </cell>
          <cell r="AC43">
            <v>0</v>
          </cell>
          <cell r="AD43">
            <v>0</v>
          </cell>
          <cell r="AF43">
            <v>-171.55403362831814</v>
          </cell>
        </row>
        <row r="44">
          <cell r="A44" t="str">
            <v>RJXA</v>
          </cell>
          <cell r="B44" t="str">
            <v>A</v>
          </cell>
          <cell r="C44" t="str">
            <v>RJX</v>
          </cell>
          <cell r="D44" t="str">
            <v>RJ700</v>
          </cell>
          <cell r="E44">
            <v>0</v>
          </cell>
          <cell r="F44">
            <v>1062.2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2807</v>
          </cell>
          <cell r="O44">
            <v>970.16</v>
          </cell>
          <cell r="P44">
            <v>1062.2</v>
          </cell>
          <cell r="Q44">
            <v>1062.2</v>
          </cell>
          <cell r="R44">
            <v>1062.2</v>
          </cell>
          <cell r="S44">
            <v>0</v>
          </cell>
          <cell r="T44">
            <v>-92.040000000000077</v>
          </cell>
          <cell r="U44">
            <v>1744.8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-1062.2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-92.040000000000077</v>
          </cell>
        </row>
        <row r="45">
          <cell r="A45" t="str">
            <v>TIGA</v>
          </cell>
          <cell r="B45" t="str">
            <v>A</v>
          </cell>
          <cell r="C45" t="str">
            <v>TIG</v>
          </cell>
          <cell r="D45" t="str">
            <v>TIGRE</v>
          </cell>
          <cell r="F45">
            <v>1660.11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1204</v>
          </cell>
          <cell r="O45">
            <v>1400.4099911504425</v>
          </cell>
          <cell r="P45">
            <v>1660.11</v>
          </cell>
          <cell r="Q45">
            <v>1660.11</v>
          </cell>
          <cell r="R45">
            <v>1660.11</v>
          </cell>
          <cell r="S45">
            <v>0</v>
          </cell>
          <cell r="T45">
            <v>-259.70000884955761</v>
          </cell>
          <cell r="U45">
            <v>-456.11</v>
          </cell>
          <cell r="V45">
            <v>0</v>
          </cell>
          <cell r="W45">
            <v>0</v>
          </cell>
          <cell r="X45">
            <v>0</v>
          </cell>
          <cell r="Y45">
            <v>1203</v>
          </cell>
          <cell r="Z45">
            <v>0</v>
          </cell>
          <cell r="AA45">
            <v>-457.11</v>
          </cell>
          <cell r="AB45">
            <v>0</v>
          </cell>
          <cell r="AC45">
            <v>0</v>
          </cell>
          <cell r="AD45">
            <v>0</v>
          </cell>
          <cell r="AF45">
            <v>-259.70000884955761</v>
          </cell>
        </row>
        <row r="46">
          <cell r="A46" t="str">
            <v>TOTA</v>
          </cell>
          <cell r="B46" t="str">
            <v>A</v>
          </cell>
          <cell r="C46" t="str">
            <v>TOT</v>
          </cell>
          <cell r="D46" t="str">
            <v>TOTEM 3000</v>
          </cell>
          <cell r="E46">
            <v>2288</v>
          </cell>
          <cell r="F46">
            <v>12339.85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211.59</v>
          </cell>
          <cell r="L46">
            <v>0</v>
          </cell>
          <cell r="M46">
            <v>0</v>
          </cell>
          <cell r="N46">
            <v>12856</v>
          </cell>
          <cell r="O46">
            <v>12247.793399999999</v>
          </cell>
          <cell r="P46">
            <v>12551.44</v>
          </cell>
          <cell r="Q46">
            <v>12339.85</v>
          </cell>
          <cell r="R46">
            <v>12551.44</v>
          </cell>
          <cell r="S46">
            <v>211.59</v>
          </cell>
          <cell r="T46">
            <v>-303.64659999999986</v>
          </cell>
          <cell r="U46">
            <v>304.56000000000131</v>
          </cell>
          <cell r="V46">
            <v>0</v>
          </cell>
          <cell r="W46">
            <v>0</v>
          </cell>
          <cell r="X46">
            <v>0</v>
          </cell>
          <cell r="Y46">
            <v>10778</v>
          </cell>
          <cell r="Z46">
            <v>320</v>
          </cell>
          <cell r="AA46">
            <v>-1773.44</v>
          </cell>
          <cell r="AB46">
            <v>211.59</v>
          </cell>
          <cell r="AC46">
            <v>0</v>
          </cell>
          <cell r="AD46">
            <v>-211.59</v>
          </cell>
          <cell r="AE46">
            <v>167.27</v>
          </cell>
          <cell r="AF46">
            <v>-470.91659999999996</v>
          </cell>
        </row>
        <row r="47">
          <cell r="A47" t="str">
            <v>ACHI</v>
          </cell>
          <cell r="B47" t="str">
            <v>I</v>
          </cell>
          <cell r="C47" t="str">
            <v>ACH</v>
          </cell>
          <cell r="D47" t="str">
            <v>FRAIS ACHATS</v>
          </cell>
          <cell r="F47">
            <v>2609.2199999999998</v>
          </cell>
          <cell r="G47">
            <v>0</v>
          </cell>
          <cell r="H47">
            <v>2399.06</v>
          </cell>
          <cell r="I47">
            <v>2399.06</v>
          </cell>
          <cell r="J47">
            <v>392.91</v>
          </cell>
          <cell r="K47">
            <v>-392.91</v>
          </cell>
          <cell r="L47">
            <v>0</v>
          </cell>
          <cell r="M47">
            <v>-2399.06</v>
          </cell>
          <cell r="N47">
            <v>0</v>
          </cell>
          <cell r="O47">
            <v>9182.4540000000015</v>
          </cell>
          <cell r="P47">
            <v>9913.4459999999999</v>
          </cell>
          <cell r="Q47">
            <v>3002.13</v>
          </cell>
          <cell r="R47">
            <v>2609.2199999999998</v>
          </cell>
          <cell r="S47">
            <v>-392.91</v>
          </cell>
          <cell r="T47">
            <v>-730.99199999999996</v>
          </cell>
          <cell r="U47">
            <v>-9913.4459999999999</v>
          </cell>
          <cell r="V47">
            <v>2434.7420000000002</v>
          </cell>
          <cell r="W47">
            <v>2470.424</v>
          </cell>
          <cell r="X47">
            <v>0</v>
          </cell>
          <cell r="Y47">
            <v>0</v>
          </cell>
          <cell r="Z47">
            <v>0</v>
          </cell>
          <cell r="AA47">
            <v>-9913.4459999999999</v>
          </cell>
          <cell r="AB47">
            <v>0</v>
          </cell>
          <cell r="AC47">
            <v>0</v>
          </cell>
          <cell r="AD47">
            <v>392.91</v>
          </cell>
          <cell r="AF47">
            <v>-730.99199999999996</v>
          </cell>
        </row>
        <row r="48">
          <cell r="A48" t="str">
            <v>DIVI</v>
          </cell>
          <cell r="B48" t="str">
            <v>I</v>
          </cell>
          <cell r="C48" t="str">
            <v>DIV</v>
          </cell>
          <cell r="D48" t="str">
            <v>INTERNE TBU</v>
          </cell>
          <cell r="F48">
            <v>0</v>
          </cell>
          <cell r="G48">
            <v>0</v>
          </cell>
          <cell r="H48">
            <v>17220</v>
          </cell>
          <cell r="I48">
            <v>17220</v>
          </cell>
          <cell r="J48">
            <v>0</v>
          </cell>
          <cell r="K48">
            <v>0</v>
          </cell>
          <cell r="L48">
            <v>0</v>
          </cell>
          <cell r="M48">
            <v>-17220</v>
          </cell>
          <cell r="N48">
            <v>0</v>
          </cell>
          <cell r="O48">
            <v>43198</v>
          </cell>
          <cell r="P48">
            <v>43198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-43198</v>
          </cell>
          <cell r="V48">
            <v>12896</v>
          </cell>
          <cell r="W48">
            <v>13082</v>
          </cell>
          <cell r="X48">
            <v>0</v>
          </cell>
          <cell r="Y48">
            <v>0</v>
          </cell>
          <cell r="Z48">
            <v>0</v>
          </cell>
          <cell r="AA48">
            <v>-43198</v>
          </cell>
          <cell r="AB48">
            <v>0</v>
          </cell>
          <cell r="AC48">
            <v>0</v>
          </cell>
          <cell r="AD48">
            <v>0</v>
          </cell>
          <cell r="AF48">
            <v>0</v>
          </cell>
        </row>
        <row r="49">
          <cell r="A49" t="str">
            <v>ENFI</v>
          </cell>
          <cell r="B49" t="str">
            <v>I</v>
          </cell>
          <cell r="C49" t="str">
            <v>ENF</v>
          </cell>
          <cell r="D49" t="str">
            <v>ENF CAL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6000</v>
          </cell>
          <cell r="O49">
            <v>6891.6280190000025</v>
          </cell>
          <cell r="P49">
            <v>6891.6280190000025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-891.6280190000025</v>
          </cell>
          <cell r="V49">
            <v>5190.8700690000014</v>
          </cell>
          <cell r="W49">
            <v>1700.7579500000002</v>
          </cell>
          <cell r="X49">
            <v>0</v>
          </cell>
          <cell r="Y49">
            <v>0</v>
          </cell>
          <cell r="Z49">
            <v>0</v>
          </cell>
          <cell r="AA49">
            <v>-6891.6280190000025</v>
          </cell>
          <cell r="AB49">
            <v>0</v>
          </cell>
          <cell r="AC49">
            <v>0</v>
          </cell>
          <cell r="AD49">
            <v>0</v>
          </cell>
          <cell r="AF49">
            <v>0</v>
          </cell>
        </row>
        <row r="50">
          <cell r="A50" t="str">
            <v>INDI</v>
          </cell>
          <cell r="B50" t="str">
            <v>I</v>
          </cell>
          <cell r="C50" t="str">
            <v>IND</v>
          </cell>
          <cell r="D50" t="str">
            <v>DIVERS EXPL</v>
          </cell>
          <cell r="E50">
            <v>2978.5</v>
          </cell>
          <cell r="F50">
            <v>15951.62</v>
          </cell>
          <cell r="G50">
            <v>0</v>
          </cell>
          <cell r="H50">
            <v>6867.7891300000001</v>
          </cell>
          <cell r="I50">
            <v>7014.0347199999997</v>
          </cell>
          <cell r="J50">
            <v>3595.05</v>
          </cell>
          <cell r="K50">
            <v>-4001.53</v>
          </cell>
          <cell r="L50">
            <v>-146.24558999999999</v>
          </cell>
          <cell r="M50">
            <v>-7014.0347199999997</v>
          </cell>
          <cell r="N50">
            <v>0</v>
          </cell>
          <cell r="O50">
            <v>27823.981666000011</v>
          </cell>
          <cell r="P50">
            <v>28073.047096000013</v>
          </cell>
          <cell r="Q50">
            <v>19546.669999999998</v>
          </cell>
          <cell r="R50">
            <v>15364.63</v>
          </cell>
          <cell r="S50">
            <v>-4001.53</v>
          </cell>
          <cell r="T50">
            <v>-249.06543000000033</v>
          </cell>
          <cell r="U50">
            <v>-28073.047096000013</v>
          </cell>
          <cell r="V50">
            <v>2567.7480320000004</v>
          </cell>
          <cell r="W50">
            <v>2592.1093440000004</v>
          </cell>
          <cell r="X50">
            <v>0</v>
          </cell>
          <cell r="Y50">
            <v>0</v>
          </cell>
          <cell r="Z50">
            <v>0</v>
          </cell>
          <cell r="AA50">
            <v>-28073.047096000013</v>
          </cell>
          <cell r="AB50">
            <v>-586.99</v>
          </cell>
          <cell r="AC50">
            <v>3.0198066269804258E-14</v>
          </cell>
          <cell r="AD50">
            <v>4182.04</v>
          </cell>
          <cell r="AE50">
            <v>537.88</v>
          </cell>
          <cell r="AF50">
            <v>-159.76542999999992</v>
          </cell>
        </row>
        <row r="51">
          <cell r="A51" t="str">
            <v>L1JI</v>
          </cell>
          <cell r="B51" t="str">
            <v>I</v>
          </cell>
          <cell r="C51" t="str">
            <v>L1J</v>
          </cell>
          <cell r="D51" t="str">
            <v>ACC LIGNE 1</v>
          </cell>
          <cell r="E51">
            <v>2965</v>
          </cell>
          <cell r="F51">
            <v>4192.54</v>
          </cell>
          <cell r="G51">
            <v>0</v>
          </cell>
          <cell r="H51">
            <v>4822.1899999999996</v>
          </cell>
          <cell r="I51">
            <v>4822.1899999999996</v>
          </cell>
          <cell r="J51">
            <v>1049.8</v>
          </cell>
          <cell r="K51">
            <v>-1049.8</v>
          </cell>
          <cell r="L51">
            <v>0</v>
          </cell>
          <cell r="M51">
            <v>-4822.1899999999996</v>
          </cell>
          <cell r="N51">
            <v>0</v>
          </cell>
          <cell r="O51">
            <v>20550.429000000004</v>
          </cell>
          <cell r="P51">
            <v>19809.762000000002</v>
          </cell>
          <cell r="Q51">
            <v>5242.34</v>
          </cell>
          <cell r="R51">
            <v>4192.54</v>
          </cell>
          <cell r="S51">
            <v>-1049.8</v>
          </cell>
          <cell r="T51">
            <v>740.66700000000014</v>
          </cell>
          <cell r="U51">
            <v>-19809.762000000002</v>
          </cell>
          <cell r="V51">
            <v>5360.9040000000005</v>
          </cell>
          <cell r="W51">
            <v>5434.1280000000006</v>
          </cell>
          <cell r="X51">
            <v>0</v>
          </cell>
          <cell r="Y51">
            <v>0</v>
          </cell>
          <cell r="Z51">
            <v>0</v>
          </cell>
          <cell r="AA51">
            <v>-19809.762000000002</v>
          </cell>
          <cell r="AB51">
            <v>0</v>
          </cell>
          <cell r="AC51">
            <v>0</v>
          </cell>
          <cell r="AD51">
            <v>1049.8</v>
          </cell>
          <cell r="AE51">
            <v>2716.3</v>
          </cell>
          <cell r="AF51">
            <v>739.38800000000015</v>
          </cell>
        </row>
        <row r="52">
          <cell r="A52" t="str">
            <v>L2JI</v>
          </cell>
          <cell r="B52" t="str">
            <v>I</v>
          </cell>
          <cell r="C52" t="str">
            <v>L2J</v>
          </cell>
          <cell r="D52" t="str">
            <v>ACC LIGNE 2</v>
          </cell>
          <cell r="E52">
            <v>3140</v>
          </cell>
          <cell r="F52">
            <v>6652.35</v>
          </cell>
          <cell r="G52">
            <v>0</v>
          </cell>
          <cell r="H52">
            <v>8050.3810199999998</v>
          </cell>
          <cell r="I52">
            <v>8767.4810199999993</v>
          </cell>
          <cell r="J52">
            <v>1459.3</v>
          </cell>
          <cell r="K52">
            <v>-1459.3</v>
          </cell>
          <cell r="L52">
            <v>-717.1</v>
          </cell>
          <cell r="M52">
            <v>-8767.4810199999993</v>
          </cell>
          <cell r="N52">
            <v>6300</v>
          </cell>
          <cell r="O52">
            <v>34805.867668454732</v>
          </cell>
          <cell r="P52">
            <v>35416.39102000001</v>
          </cell>
          <cell r="Q52">
            <v>8111.65</v>
          </cell>
          <cell r="R52">
            <v>6652.35</v>
          </cell>
          <cell r="S52">
            <v>-1459.3</v>
          </cell>
          <cell r="T52">
            <v>-610.52335154527952</v>
          </cell>
          <cell r="U52">
            <v>-29116.39102000001</v>
          </cell>
          <cell r="V52">
            <v>9931.9680000000008</v>
          </cell>
          <cell r="W52">
            <v>10064.592000000001</v>
          </cell>
          <cell r="X52">
            <v>0</v>
          </cell>
          <cell r="Y52">
            <v>0</v>
          </cell>
          <cell r="Z52">
            <v>0</v>
          </cell>
          <cell r="AA52">
            <v>-35416.39102000001</v>
          </cell>
          <cell r="AB52">
            <v>0</v>
          </cell>
          <cell r="AC52">
            <v>0</v>
          </cell>
          <cell r="AD52">
            <v>1459.3</v>
          </cell>
          <cell r="AE52">
            <v>596.21497999999997</v>
          </cell>
          <cell r="AF52">
            <v>-614.16635154527955</v>
          </cell>
        </row>
        <row r="53">
          <cell r="A53" t="str">
            <v>L3JI</v>
          </cell>
          <cell r="B53" t="str">
            <v>I</v>
          </cell>
          <cell r="C53" t="str">
            <v>L3J</v>
          </cell>
          <cell r="D53" t="str">
            <v>ACC LIGNE 3</v>
          </cell>
          <cell r="E53">
            <v>1710</v>
          </cell>
          <cell r="F53">
            <v>3470.01</v>
          </cell>
          <cell r="G53">
            <v>0</v>
          </cell>
          <cell r="H53">
            <v>4384</v>
          </cell>
          <cell r="I53">
            <v>4756</v>
          </cell>
          <cell r="J53">
            <v>657.02</v>
          </cell>
          <cell r="K53">
            <v>-789.15</v>
          </cell>
          <cell r="L53">
            <v>-372</v>
          </cell>
          <cell r="M53">
            <v>-4756</v>
          </cell>
          <cell r="N53">
            <v>0</v>
          </cell>
          <cell r="O53">
            <v>15105.873999999994</v>
          </cell>
          <cell r="P53">
            <v>16161.074000000006</v>
          </cell>
          <cell r="Q53">
            <v>4127.03</v>
          </cell>
          <cell r="R53">
            <v>3337.88</v>
          </cell>
          <cell r="S53">
            <v>-789.15</v>
          </cell>
          <cell r="T53">
            <v>-1055.2</v>
          </cell>
          <cell r="U53">
            <v>-16161.074000000006</v>
          </cell>
          <cell r="V53">
            <v>4084.8760000000002</v>
          </cell>
          <cell r="W53">
            <v>3832.5479999999998</v>
          </cell>
          <cell r="X53">
            <v>0</v>
          </cell>
          <cell r="Y53">
            <v>0</v>
          </cell>
          <cell r="Z53">
            <v>0</v>
          </cell>
          <cell r="AA53">
            <v>-16161.074000000006</v>
          </cell>
          <cell r="AB53">
            <v>-132.13</v>
          </cell>
          <cell r="AC53">
            <v>0</v>
          </cell>
          <cell r="AD53">
            <v>789.15</v>
          </cell>
          <cell r="AE53">
            <v>1578.58</v>
          </cell>
          <cell r="AF53">
            <v>-1123.9460000000001</v>
          </cell>
        </row>
        <row r="54">
          <cell r="A54" t="str">
            <v>L5JI</v>
          </cell>
          <cell r="B54" t="str">
            <v>I</v>
          </cell>
          <cell r="C54" t="str">
            <v>L5J</v>
          </cell>
          <cell r="D54" t="str">
            <v>ACC LIGNE 5</v>
          </cell>
          <cell r="F54">
            <v>0</v>
          </cell>
          <cell r="G54">
            <v>0</v>
          </cell>
          <cell r="H54">
            <v>2699.1400001503998</v>
          </cell>
          <cell r="I54">
            <v>2699.1400001503998</v>
          </cell>
          <cell r="J54">
            <v>505.88</v>
          </cell>
          <cell r="K54">
            <v>-505.88</v>
          </cell>
          <cell r="L54">
            <v>0</v>
          </cell>
          <cell r="M54">
            <v>-2699.1400001503998</v>
          </cell>
          <cell r="N54">
            <v>2700</v>
          </cell>
          <cell r="O54">
            <v>2699.1400001503998</v>
          </cell>
          <cell r="P54">
            <v>2699.1400001503998</v>
          </cell>
          <cell r="Q54">
            <v>505.88</v>
          </cell>
          <cell r="R54">
            <v>0</v>
          </cell>
          <cell r="S54">
            <v>-505.88</v>
          </cell>
          <cell r="T54">
            <v>0</v>
          </cell>
          <cell r="U54">
            <v>0.85999984960017173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-2699.1400001503998</v>
          </cell>
          <cell r="AB54">
            <v>0</v>
          </cell>
          <cell r="AC54">
            <v>0</v>
          </cell>
          <cell r="AD54">
            <v>505.88</v>
          </cell>
          <cell r="AF54">
            <v>0</v>
          </cell>
        </row>
        <row r="55">
          <cell r="A55" t="str">
            <v>L6JI</v>
          </cell>
          <cell r="B55" t="str">
            <v>I</v>
          </cell>
          <cell r="C55" t="str">
            <v>L6J</v>
          </cell>
          <cell r="D55" t="str">
            <v>ACC LIGNE 6</v>
          </cell>
          <cell r="F55">
            <v>0</v>
          </cell>
          <cell r="G55">
            <v>0</v>
          </cell>
          <cell r="H55">
            <v>373.92</v>
          </cell>
          <cell r="I55">
            <v>373.92</v>
          </cell>
          <cell r="J55">
            <v>119.45</v>
          </cell>
          <cell r="K55">
            <v>-119.45</v>
          </cell>
          <cell r="L55">
            <v>0</v>
          </cell>
          <cell r="M55">
            <v>-373.92</v>
          </cell>
          <cell r="N55">
            <v>300</v>
          </cell>
          <cell r="O55">
            <v>373.92</v>
          </cell>
          <cell r="P55">
            <v>373.92</v>
          </cell>
          <cell r="Q55">
            <v>119.45</v>
          </cell>
          <cell r="R55">
            <v>0</v>
          </cell>
          <cell r="S55">
            <v>-119.45</v>
          </cell>
          <cell r="T55">
            <v>0</v>
          </cell>
          <cell r="U55">
            <v>-73.92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-373.92</v>
          </cell>
          <cell r="AB55">
            <v>0</v>
          </cell>
          <cell r="AC55">
            <v>0</v>
          </cell>
          <cell r="AD55">
            <v>119.45</v>
          </cell>
          <cell r="AF55">
            <v>0</v>
          </cell>
        </row>
        <row r="56">
          <cell r="A56" t="str">
            <v>LXJI</v>
          </cell>
          <cell r="B56" t="str">
            <v>I</v>
          </cell>
          <cell r="C56" t="str">
            <v>LXJ</v>
          </cell>
          <cell r="D56" t="str">
            <v>ACC DIVERS</v>
          </cell>
          <cell r="F56">
            <v>7097.8</v>
          </cell>
          <cell r="G56">
            <v>0</v>
          </cell>
          <cell r="H56">
            <v>4854.8649999999998</v>
          </cell>
          <cell r="I56">
            <v>5940.2750000000005</v>
          </cell>
          <cell r="J56">
            <v>1863.34</v>
          </cell>
          <cell r="K56">
            <v>-2020.38</v>
          </cell>
          <cell r="L56">
            <v>-1085.4100000000001</v>
          </cell>
          <cell r="M56">
            <v>-5940.2750000000005</v>
          </cell>
          <cell r="N56">
            <v>1300</v>
          </cell>
          <cell r="O56">
            <v>32789.010999999999</v>
          </cell>
          <cell r="P56">
            <v>35403.858999999997</v>
          </cell>
          <cell r="Q56">
            <v>8961.14</v>
          </cell>
          <cell r="R56">
            <v>6940.76</v>
          </cell>
          <cell r="S56">
            <v>-2020.38</v>
          </cell>
          <cell r="T56">
            <v>-2614.8479999999995</v>
          </cell>
          <cell r="U56">
            <v>-34103.858999999997</v>
          </cell>
          <cell r="V56">
            <v>11071.175999999999</v>
          </cell>
          <cell r="W56">
            <v>11220.948000000002</v>
          </cell>
          <cell r="X56">
            <v>0</v>
          </cell>
          <cell r="Y56">
            <v>0</v>
          </cell>
          <cell r="Z56">
            <v>0</v>
          </cell>
          <cell r="AA56">
            <v>-35403.858999999997</v>
          </cell>
          <cell r="AB56">
            <v>-157.04</v>
          </cell>
          <cell r="AC56">
            <v>0</v>
          </cell>
          <cell r="AD56">
            <v>2020.38</v>
          </cell>
          <cell r="AF56">
            <v>-2614.8479999999995</v>
          </cell>
        </row>
        <row r="57">
          <cell r="A57" t="str">
            <v>OEII</v>
          </cell>
          <cell r="B57" t="str">
            <v>I</v>
          </cell>
          <cell r="C57" t="str">
            <v>OEI</v>
          </cell>
          <cell r="D57" t="str">
            <v>OE CONNEXES</v>
          </cell>
          <cell r="F57">
            <v>0</v>
          </cell>
          <cell r="G57">
            <v>0</v>
          </cell>
          <cell r="H57">
            <v>850.06</v>
          </cell>
          <cell r="I57">
            <v>850.06</v>
          </cell>
          <cell r="J57">
            <v>2.13</v>
          </cell>
          <cell r="K57">
            <v>-2.13</v>
          </cell>
          <cell r="L57">
            <v>0</v>
          </cell>
          <cell r="M57">
            <v>-850.06</v>
          </cell>
          <cell r="N57">
            <v>0</v>
          </cell>
          <cell r="O57">
            <v>850.06</v>
          </cell>
          <cell r="P57">
            <v>850.06</v>
          </cell>
          <cell r="Q57">
            <v>2.13</v>
          </cell>
          <cell r="R57">
            <v>0</v>
          </cell>
          <cell r="S57">
            <v>-2.13</v>
          </cell>
          <cell r="T57">
            <v>0</v>
          </cell>
          <cell r="U57">
            <v>-850.06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-850.06</v>
          </cell>
          <cell r="AB57">
            <v>0</v>
          </cell>
          <cell r="AC57">
            <v>0</v>
          </cell>
          <cell r="AD57">
            <v>2.13</v>
          </cell>
          <cell r="AF57">
            <v>0</v>
          </cell>
        </row>
        <row r="58">
          <cell r="A58" t="str">
            <v>PRDI</v>
          </cell>
          <cell r="B58" t="str">
            <v>I</v>
          </cell>
          <cell r="C58" t="str">
            <v>PRD</v>
          </cell>
          <cell r="D58" t="str">
            <v>COMPL SERIE</v>
          </cell>
          <cell r="E58">
            <v>218</v>
          </cell>
          <cell r="F58">
            <v>12461.43</v>
          </cell>
          <cell r="G58">
            <v>0</v>
          </cell>
          <cell r="H58">
            <v>5217.7</v>
          </cell>
          <cell r="I58">
            <v>5319.1</v>
          </cell>
          <cell r="J58">
            <v>2162.8200000000002</v>
          </cell>
          <cell r="K58">
            <v>-2151.81</v>
          </cell>
          <cell r="L58">
            <v>-101.4</v>
          </cell>
          <cell r="M58">
            <v>-5319.1</v>
          </cell>
          <cell r="N58">
            <v>0</v>
          </cell>
          <cell r="O58">
            <v>14996.892</v>
          </cell>
          <cell r="P58">
            <v>17780.53</v>
          </cell>
          <cell r="Q58">
            <v>14624.25</v>
          </cell>
          <cell r="R58">
            <v>12461.43</v>
          </cell>
          <cell r="S58">
            <v>-2151.81</v>
          </cell>
          <cell r="T58">
            <v>-2783.6379999999999</v>
          </cell>
          <cell r="U58">
            <v>-17780.53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-17780.53</v>
          </cell>
          <cell r="AB58">
            <v>0</v>
          </cell>
          <cell r="AC58">
            <v>0</v>
          </cell>
          <cell r="AD58">
            <v>2162.8200000000002</v>
          </cell>
          <cell r="AE58">
            <v>216.45</v>
          </cell>
          <cell r="AF58">
            <v>-2999.77</v>
          </cell>
        </row>
        <row r="59">
          <cell r="A59" t="str">
            <v>109N</v>
          </cell>
          <cell r="B59" t="str">
            <v>N</v>
          </cell>
          <cell r="C59" t="str">
            <v>109</v>
          </cell>
          <cell r="D59" t="str">
            <v>A109</v>
          </cell>
          <cell r="F59">
            <v>435.81</v>
          </cell>
          <cell r="G59">
            <v>0</v>
          </cell>
          <cell r="H59">
            <v>0</v>
          </cell>
          <cell r="I59">
            <v>48.06</v>
          </cell>
          <cell r="J59">
            <v>66.39</v>
          </cell>
          <cell r="K59">
            <v>-66.39</v>
          </cell>
          <cell r="L59">
            <v>-48.06</v>
          </cell>
          <cell r="M59">
            <v>-48.06</v>
          </cell>
          <cell r="N59">
            <v>444</v>
          </cell>
          <cell r="O59">
            <v>481.28775000000007</v>
          </cell>
          <cell r="P59">
            <v>483.87</v>
          </cell>
          <cell r="Q59">
            <v>502.2</v>
          </cell>
          <cell r="R59">
            <v>435.81</v>
          </cell>
          <cell r="S59">
            <v>-66.39</v>
          </cell>
          <cell r="T59">
            <v>-2.5822499999999753</v>
          </cell>
          <cell r="U59">
            <v>-39.870000000000061</v>
          </cell>
          <cell r="V59">
            <v>0</v>
          </cell>
          <cell r="W59">
            <v>0</v>
          </cell>
          <cell r="X59">
            <v>0</v>
          </cell>
          <cell r="Y59">
            <v>444</v>
          </cell>
          <cell r="Z59">
            <v>0</v>
          </cell>
          <cell r="AA59">
            <v>-39.870000000000061</v>
          </cell>
          <cell r="AB59">
            <v>0</v>
          </cell>
          <cell r="AC59">
            <v>0</v>
          </cell>
          <cell r="AD59">
            <v>66.39</v>
          </cell>
          <cell r="AF59">
            <v>-2.5822499999999753</v>
          </cell>
        </row>
        <row r="60">
          <cell r="A60" t="str">
            <v>310N</v>
          </cell>
          <cell r="B60" t="str">
            <v>N</v>
          </cell>
          <cell r="C60" t="str">
            <v>310</v>
          </cell>
          <cell r="D60" t="str">
            <v>A310</v>
          </cell>
          <cell r="E60">
            <v>610</v>
          </cell>
          <cell r="F60">
            <v>2171.84</v>
          </cell>
          <cell r="G60">
            <v>0</v>
          </cell>
          <cell r="H60">
            <v>344.5</v>
          </cell>
          <cell r="I60">
            <v>344.5</v>
          </cell>
          <cell r="J60">
            <v>107.08</v>
          </cell>
          <cell r="K60">
            <v>-284.73</v>
          </cell>
          <cell r="L60">
            <v>0</v>
          </cell>
          <cell r="M60">
            <v>-344.5</v>
          </cell>
          <cell r="N60">
            <v>1856</v>
          </cell>
          <cell r="O60">
            <v>1895.4114068488</v>
          </cell>
          <cell r="P60">
            <v>2441.46</v>
          </cell>
          <cell r="Q60">
            <v>2278.92</v>
          </cell>
          <cell r="R60">
            <v>1888.76</v>
          </cell>
          <cell r="S60">
            <v>-284.73</v>
          </cell>
          <cell r="T60">
            <v>-546.04859315119984</v>
          </cell>
          <cell r="U60">
            <v>-585.46</v>
          </cell>
          <cell r="V60">
            <v>0</v>
          </cell>
          <cell r="W60">
            <v>0</v>
          </cell>
          <cell r="X60">
            <v>0</v>
          </cell>
          <cell r="Y60">
            <v>1400</v>
          </cell>
          <cell r="Z60">
            <v>0</v>
          </cell>
          <cell r="AA60">
            <v>-1041.46</v>
          </cell>
          <cell r="AB60">
            <v>-283.08</v>
          </cell>
          <cell r="AC60">
            <v>0</v>
          </cell>
          <cell r="AD60">
            <v>390.16</v>
          </cell>
          <cell r="AE60">
            <v>-488.44</v>
          </cell>
          <cell r="AF60">
            <v>-58.323593151199873</v>
          </cell>
        </row>
        <row r="61">
          <cell r="A61" t="str">
            <v>320N</v>
          </cell>
          <cell r="B61" t="str">
            <v>N</v>
          </cell>
          <cell r="C61" t="str">
            <v>320</v>
          </cell>
          <cell r="D61" t="str">
            <v>A320</v>
          </cell>
          <cell r="E61">
            <v>3466</v>
          </cell>
          <cell r="F61">
            <v>7832.29</v>
          </cell>
          <cell r="G61">
            <v>0</v>
          </cell>
          <cell r="H61">
            <v>1371.2</v>
          </cell>
          <cell r="I61">
            <v>2517.2728000000002</v>
          </cell>
          <cell r="J61">
            <v>1166.98</v>
          </cell>
          <cell r="K61">
            <v>-589.88</v>
          </cell>
          <cell r="L61">
            <v>-1146.0728000000001</v>
          </cell>
          <cell r="M61">
            <v>-2517.2728000000002</v>
          </cell>
          <cell r="N61">
            <v>8198</v>
          </cell>
          <cell r="O61">
            <v>6921.61</v>
          </cell>
          <cell r="P61">
            <v>10501.552799999999</v>
          </cell>
          <cell r="Q61">
            <v>8999.27</v>
          </cell>
          <cell r="R61">
            <v>7638.36</v>
          </cell>
          <cell r="S61">
            <v>-589.88</v>
          </cell>
          <cell r="T61">
            <v>-3579.9428000000003</v>
          </cell>
          <cell r="U61">
            <v>-2303.5527999999995</v>
          </cell>
          <cell r="V61">
            <v>0</v>
          </cell>
          <cell r="W61">
            <v>0</v>
          </cell>
          <cell r="X61">
            <v>0</v>
          </cell>
          <cell r="Y61">
            <v>3150</v>
          </cell>
          <cell r="Z61">
            <v>1100</v>
          </cell>
          <cell r="AA61">
            <v>-7351.5527999999995</v>
          </cell>
          <cell r="AB61">
            <v>-193.93</v>
          </cell>
          <cell r="AC61">
            <v>0</v>
          </cell>
          <cell r="AD61">
            <v>1360.91</v>
          </cell>
          <cell r="AE61">
            <v>-510.13279999999986</v>
          </cell>
          <cell r="AF61">
            <v>-3465.2470000000003</v>
          </cell>
        </row>
        <row r="62">
          <cell r="A62" t="str">
            <v>340N</v>
          </cell>
          <cell r="B62" t="str">
            <v>N</v>
          </cell>
          <cell r="C62" t="str">
            <v>340</v>
          </cell>
          <cell r="D62" t="str">
            <v>A340</v>
          </cell>
          <cell r="E62">
            <v>1217</v>
          </cell>
          <cell r="F62">
            <v>4083.83</v>
          </cell>
          <cell r="G62">
            <v>0</v>
          </cell>
          <cell r="H62">
            <v>25.45</v>
          </cell>
          <cell r="I62">
            <v>1774.8</v>
          </cell>
          <cell r="J62">
            <v>340.27</v>
          </cell>
          <cell r="K62">
            <v>-772.04</v>
          </cell>
          <cell r="L62">
            <v>-1749.35</v>
          </cell>
          <cell r="M62">
            <v>-1774.8</v>
          </cell>
          <cell r="N62">
            <v>5000</v>
          </cell>
          <cell r="O62">
            <v>4036.7979999999998</v>
          </cell>
          <cell r="P62">
            <v>5834.8680000000004</v>
          </cell>
          <cell r="Q62">
            <v>4424.1000000000004</v>
          </cell>
          <cell r="R62">
            <v>3635.29</v>
          </cell>
          <cell r="S62">
            <v>-772.04</v>
          </cell>
          <cell r="T62">
            <v>-1798.07</v>
          </cell>
          <cell r="U62">
            <v>-834.86800000000039</v>
          </cell>
          <cell r="V62">
            <v>0</v>
          </cell>
          <cell r="W62">
            <v>0</v>
          </cell>
          <cell r="X62">
            <v>0</v>
          </cell>
          <cell r="Y62">
            <v>3775</v>
          </cell>
          <cell r="Z62">
            <v>0</v>
          </cell>
          <cell r="AA62">
            <v>-2059.8680000000004</v>
          </cell>
          <cell r="AB62">
            <v>-448.54</v>
          </cell>
          <cell r="AC62">
            <v>0</v>
          </cell>
          <cell r="AD62">
            <v>788.81</v>
          </cell>
          <cell r="AE62">
            <v>22.75</v>
          </cell>
          <cell r="AF62">
            <v>-1877.2330000000002</v>
          </cell>
        </row>
        <row r="63">
          <cell r="A63" t="str">
            <v>AAEN</v>
          </cell>
          <cell r="B63" t="str">
            <v>N</v>
          </cell>
          <cell r="C63" t="str">
            <v>AAE</v>
          </cell>
          <cell r="D63" t="str">
            <v>RAO AAE</v>
          </cell>
          <cell r="F63">
            <v>0</v>
          </cell>
          <cell r="G63">
            <v>0</v>
          </cell>
          <cell r="H63">
            <v>199.958</v>
          </cell>
          <cell r="I63">
            <v>199.958</v>
          </cell>
          <cell r="J63">
            <v>0</v>
          </cell>
          <cell r="K63">
            <v>0</v>
          </cell>
          <cell r="L63">
            <v>0</v>
          </cell>
          <cell r="M63">
            <v>-199.958</v>
          </cell>
          <cell r="N63">
            <v>200</v>
          </cell>
          <cell r="O63">
            <v>199.958</v>
          </cell>
          <cell r="P63">
            <v>199.958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4.2000000000001592E-2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-199.958</v>
          </cell>
          <cell r="AB63">
            <v>0</v>
          </cell>
          <cell r="AC63">
            <v>0</v>
          </cell>
          <cell r="AD63">
            <v>0</v>
          </cell>
          <cell r="AF63">
            <v>0</v>
          </cell>
        </row>
        <row r="64">
          <cell r="A64" t="str">
            <v>ACQN</v>
          </cell>
          <cell r="B64" t="str">
            <v>N</v>
          </cell>
          <cell r="C64" t="str">
            <v>ACQ</v>
          </cell>
          <cell r="D64" t="str">
            <v>ACQUISITIONS</v>
          </cell>
          <cell r="E64">
            <v>268</v>
          </cell>
          <cell r="F64">
            <v>36094.870000000003</v>
          </cell>
          <cell r="G64">
            <v>0</v>
          </cell>
          <cell r="H64">
            <v>357.25</v>
          </cell>
          <cell r="I64">
            <v>360.94</v>
          </cell>
          <cell r="J64">
            <v>97.98</v>
          </cell>
          <cell r="K64">
            <v>-97.98</v>
          </cell>
          <cell r="L64">
            <v>-3.6900000000000217</v>
          </cell>
          <cell r="M64">
            <v>-360.94</v>
          </cell>
          <cell r="N64">
            <v>47210</v>
          </cell>
          <cell r="O64">
            <v>47173.693200000009</v>
          </cell>
          <cell r="P64">
            <v>46270.81</v>
          </cell>
          <cell r="Q64">
            <v>36192.85</v>
          </cell>
          <cell r="R64">
            <v>36094.870000000003</v>
          </cell>
          <cell r="S64">
            <v>-97.98</v>
          </cell>
          <cell r="T64">
            <v>902.88319999999896</v>
          </cell>
          <cell r="U64">
            <v>939.18999999999505</v>
          </cell>
          <cell r="V64">
            <v>0</v>
          </cell>
          <cell r="W64">
            <v>0</v>
          </cell>
          <cell r="X64">
            <v>0</v>
          </cell>
          <cell r="Y64">
            <v>9172</v>
          </cell>
          <cell r="Z64">
            <v>879</v>
          </cell>
          <cell r="AA64">
            <v>-37098.81</v>
          </cell>
          <cell r="AB64">
            <v>0</v>
          </cell>
          <cell r="AC64">
            <v>0</v>
          </cell>
          <cell r="AD64">
            <v>97.98</v>
          </cell>
          <cell r="AE64">
            <v>17.010000000000002</v>
          </cell>
          <cell r="AF64">
            <v>885.88319999999896</v>
          </cell>
        </row>
        <row r="65">
          <cell r="A65" t="str">
            <v>AHNN</v>
          </cell>
          <cell r="B65" t="str">
            <v>N</v>
          </cell>
          <cell r="C65" t="str">
            <v>AHN</v>
          </cell>
          <cell r="D65" t="str">
            <v>AHNG</v>
          </cell>
          <cell r="F65">
            <v>477.54</v>
          </cell>
          <cell r="G65">
            <v>0</v>
          </cell>
          <cell r="H65">
            <v>0</v>
          </cell>
          <cell r="I65">
            <v>0</v>
          </cell>
          <cell r="J65">
            <v>85.08</v>
          </cell>
          <cell r="K65">
            <v>-85.08</v>
          </cell>
          <cell r="L65">
            <v>0</v>
          </cell>
          <cell r="M65">
            <v>0</v>
          </cell>
          <cell r="N65">
            <v>504</v>
          </cell>
          <cell r="O65">
            <v>528.61799999999994</v>
          </cell>
          <cell r="P65">
            <v>477.54</v>
          </cell>
          <cell r="Q65">
            <v>562.62</v>
          </cell>
          <cell r="R65">
            <v>477.54</v>
          </cell>
          <cell r="S65">
            <v>-85.08</v>
          </cell>
          <cell r="T65">
            <v>51.077999999999946</v>
          </cell>
          <cell r="U65">
            <v>26.46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-477.54</v>
          </cell>
          <cell r="AB65">
            <v>0</v>
          </cell>
          <cell r="AC65">
            <v>0</v>
          </cell>
          <cell r="AD65">
            <v>85.08</v>
          </cell>
          <cell r="AF65">
            <v>51.077999999999946</v>
          </cell>
        </row>
        <row r="66">
          <cell r="A66" t="str">
            <v>ALZN</v>
          </cell>
          <cell r="B66" t="str">
            <v>N</v>
          </cell>
          <cell r="C66" t="str">
            <v>ALZ</v>
          </cell>
          <cell r="D66" t="str">
            <v>ALIZE</v>
          </cell>
          <cell r="F66">
            <v>40.58</v>
          </cell>
          <cell r="G66">
            <v>0</v>
          </cell>
          <cell r="H66">
            <v>0</v>
          </cell>
          <cell r="I66">
            <v>98.4</v>
          </cell>
          <cell r="J66">
            <v>0</v>
          </cell>
          <cell r="K66">
            <v>0</v>
          </cell>
          <cell r="L66">
            <v>-98.4</v>
          </cell>
          <cell r="M66">
            <v>-98.4</v>
          </cell>
          <cell r="N66">
            <v>140</v>
          </cell>
          <cell r="O66">
            <v>142.08000000000001</v>
          </cell>
          <cell r="P66">
            <v>138.97999999999999</v>
          </cell>
          <cell r="Q66">
            <v>40.58</v>
          </cell>
          <cell r="R66">
            <v>40.58</v>
          </cell>
          <cell r="S66">
            <v>0</v>
          </cell>
          <cell r="T66">
            <v>3.1000000000000227</v>
          </cell>
          <cell r="U66">
            <v>1.0200000000000102</v>
          </cell>
          <cell r="V66">
            <v>0</v>
          </cell>
          <cell r="W66">
            <v>0</v>
          </cell>
          <cell r="X66">
            <v>0</v>
          </cell>
          <cell r="Y66">
            <v>140</v>
          </cell>
          <cell r="Z66">
            <v>0</v>
          </cell>
          <cell r="AA66">
            <v>1.0200000000000102</v>
          </cell>
          <cell r="AB66">
            <v>0</v>
          </cell>
          <cell r="AC66">
            <v>0</v>
          </cell>
          <cell r="AD66">
            <v>0</v>
          </cell>
          <cell r="AF66">
            <v>3.1000000000000227</v>
          </cell>
        </row>
        <row r="67">
          <cell r="A67" t="str">
            <v>ARAN</v>
          </cell>
          <cell r="B67" t="str">
            <v>N</v>
          </cell>
          <cell r="C67" t="str">
            <v>ARA</v>
          </cell>
          <cell r="D67" t="str">
            <v>RAO ARA</v>
          </cell>
          <cell r="F67">
            <v>436.19</v>
          </cell>
          <cell r="G67">
            <v>0</v>
          </cell>
          <cell r="H67">
            <v>270.10000000000002</v>
          </cell>
          <cell r="I67">
            <v>270.10000000000002</v>
          </cell>
          <cell r="J67">
            <v>5.66</v>
          </cell>
          <cell r="K67">
            <v>-5.66</v>
          </cell>
          <cell r="L67">
            <v>0</v>
          </cell>
          <cell r="M67">
            <v>-270.10000000000002</v>
          </cell>
          <cell r="N67">
            <v>325</v>
          </cell>
          <cell r="O67">
            <v>815.1</v>
          </cell>
          <cell r="P67">
            <v>726.29</v>
          </cell>
          <cell r="Q67">
            <v>441.85</v>
          </cell>
          <cell r="R67">
            <v>436.19</v>
          </cell>
          <cell r="S67">
            <v>-5.66</v>
          </cell>
          <cell r="T67">
            <v>88.81</v>
          </cell>
          <cell r="U67">
            <v>-401.29</v>
          </cell>
          <cell r="V67">
            <v>20</v>
          </cell>
          <cell r="W67">
            <v>0</v>
          </cell>
          <cell r="X67">
            <v>0</v>
          </cell>
          <cell r="Y67">
            <v>325</v>
          </cell>
          <cell r="Z67">
            <v>300</v>
          </cell>
          <cell r="AA67">
            <v>-401.29</v>
          </cell>
          <cell r="AB67">
            <v>0</v>
          </cell>
          <cell r="AC67">
            <v>0</v>
          </cell>
          <cell r="AD67">
            <v>5.66</v>
          </cell>
          <cell r="AF67">
            <v>88.81</v>
          </cell>
        </row>
        <row r="68">
          <cell r="A68" t="str">
            <v>BELN</v>
          </cell>
          <cell r="B68" t="str">
            <v>N</v>
          </cell>
          <cell r="C68" t="str">
            <v>BEL</v>
          </cell>
          <cell r="D68" t="str">
            <v>BELL427</v>
          </cell>
          <cell r="E68">
            <v>510</v>
          </cell>
          <cell r="F68">
            <v>3575.41</v>
          </cell>
          <cell r="G68">
            <v>0</v>
          </cell>
          <cell r="H68">
            <v>9846.1994999720009</v>
          </cell>
          <cell r="I68">
            <v>10140.695</v>
          </cell>
          <cell r="J68">
            <v>906.27</v>
          </cell>
          <cell r="K68">
            <v>-903.69</v>
          </cell>
          <cell r="L68">
            <v>-294.4955000279997</v>
          </cell>
          <cell r="M68">
            <v>-10140.695</v>
          </cell>
          <cell r="N68">
            <v>7956</v>
          </cell>
          <cell r="O68">
            <v>13300.331100274001</v>
          </cell>
          <cell r="P68">
            <v>13716.105</v>
          </cell>
          <cell r="Q68">
            <v>4481.68</v>
          </cell>
          <cell r="R68">
            <v>3575.41</v>
          </cell>
          <cell r="S68">
            <v>-903.69</v>
          </cell>
          <cell r="T68">
            <v>-415.77389972599894</v>
          </cell>
          <cell r="U68">
            <v>-5760.1049999999996</v>
          </cell>
          <cell r="V68">
            <v>0</v>
          </cell>
          <cell r="W68">
            <v>0</v>
          </cell>
          <cell r="X68">
            <v>0</v>
          </cell>
          <cell r="Y68">
            <v>400</v>
          </cell>
          <cell r="Z68">
            <v>0</v>
          </cell>
          <cell r="AA68">
            <v>-13316.105</v>
          </cell>
          <cell r="AB68">
            <v>0</v>
          </cell>
          <cell r="AC68">
            <v>0</v>
          </cell>
          <cell r="AD68">
            <v>906.27</v>
          </cell>
          <cell r="AE68">
            <v>348.37</v>
          </cell>
          <cell r="AF68">
            <v>-416.50889972599896</v>
          </cell>
        </row>
        <row r="69">
          <cell r="A69" t="str">
            <v>C13N</v>
          </cell>
          <cell r="B69" t="str">
            <v>N</v>
          </cell>
          <cell r="C69" t="str">
            <v>C13</v>
          </cell>
          <cell r="D69" t="str">
            <v>C130</v>
          </cell>
          <cell r="E69">
            <v>496</v>
          </cell>
          <cell r="F69">
            <v>4734.05</v>
          </cell>
          <cell r="G69">
            <v>0</v>
          </cell>
          <cell r="H69">
            <v>15.58</v>
          </cell>
          <cell r="I69">
            <v>2922.694</v>
          </cell>
          <cell r="J69">
            <v>2065.71</v>
          </cell>
          <cell r="K69">
            <v>-2065.71</v>
          </cell>
          <cell r="L69">
            <v>-2907.114</v>
          </cell>
          <cell r="M69">
            <v>-2922.694</v>
          </cell>
          <cell r="N69">
            <v>5890</v>
          </cell>
          <cell r="O69">
            <v>6651.3080049131304</v>
          </cell>
          <cell r="P69">
            <v>7690.7440000000006</v>
          </cell>
          <cell r="Q69">
            <v>6799.76</v>
          </cell>
          <cell r="R69">
            <v>4734.05</v>
          </cell>
          <cell r="S69">
            <v>-2065.71</v>
          </cell>
          <cell r="T69">
            <v>-1039.4359950868695</v>
          </cell>
          <cell r="U69">
            <v>-1800.7440000000006</v>
          </cell>
          <cell r="V69">
            <v>0</v>
          </cell>
          <cell r="W69">
            <v>0</v>
          </cell>
          <cell r="X69">
            <v>34</v>
          </cell>
          <cell r="Y69">
            <v>5116</v>
          </cell>
          <cell r="Z69">
            <v>0</v>
          </cell>
          <cell r="AA69">
            <v>-2574.7440000000006</v>
          </cell>
          <cell r="AB69">
            <v>0</v>
          </cell>
          <cell r="AC69">
            <v>0</v>
          </cell>
          <cell r="AD69">
            <v>2065.71</v>
          </cell>
          <cell r="AE69">
            <v>25.49</v>
          </cell>
          <cell r="AF69">
            <v>-1008.1307950868695</v>
          </cell>
        </row>
        <row r="70">
          <cell r="A70" t="str">
            <v>C29N</v>
          </cell>
          <cell r="B70" t="str">
            <v>N</v>
          </cell>
          <cell r="C70" t="str">
            <v>C29</v>
          </cell>
          <cell r="D70" t="str">
            <v>CASA 295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100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100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F70">
            <v>0</v>
          </cell>
        </row>
        <row r="71">
          <cell r="A71" t="str">
            <v>CASN</v>
          </cell>
          <cell r="B71" t="str">
            <v>N</v>
          </cell>
          <cell r="C71" t="str">
            <v>CAS</v>
          </cell>
          <cell r="D71" t="str">
            <v>CASOM</v>
          </cell>
          <cell r="F71">
            <v>6424.04</v>
          </cell>
          <cell r="G71">
            <v>0</v>
          </cell>
          <cell r="H71">
            <v>88.25</v>
          </cell>
          <cell r="I71">
            <v>1159.43</v>
          </cell>
          <cell r="J71">
            <v>344.03</v>
          </cell>
          <cell r="K71">
            <v>-344.03</v>
          </cell>
          <cell r="L71">
            <v>-1071.18</v>
          </cell>
          <cell r="M71">
            <v>-1159.43</v>
          </cell>
          <cell r="N71">
            <v>6900</v>
          </cell>
          <cell r="O71">
            <v>6895.78</v>
          </cell>
          <cell r="P71">
            <v>7583.47</v>
          </cell>
          <cell r="Q71">
            <v>6768.07</v>
          </cell>
          <cell r="R71">
            <v>6424.04</v>
          </cell>
          <cell r="S71">
            <v>-344.03</v>
          </cell>
          <cell r="T71">
            <v>-687.69</v>
          </cell>
          <cell r="U71">
            <v>-683.47000000000116</v>
          </cell>
          <cell r="V71">
            <v>0</v>
          </cell>
          <cell r="W71">
            <v>0</v>
          </cell>
          <cell r="X71">
            <v>0</v>
          </cell>
          <cell r="Y71">
            <v>6900</v>
          </cell>
          <cell r="Z71">
            <v>0</v>
          </cell>
          <cell r="AA71">
            <v>-683.47000000000116</v>
          </cell>
          <cell r="AB71">
            <v>0</v>
          </cell>
          <cell r="AC71">
            <v>0</v>
          </cell>
          <cell r="AD71">
            <v>344.03</v>
          </cell>
          <cell r="AF71">
            <v>-687.69</v>
          </cell>
        </row>
        <row r="72">
          <cell r="A72" t="str">
            <v>DAPN</v>
          </cell>
          <cell r="B72" t="str">
            <v>N</v>
          </cell>
          <cell r="C72" t="str">
            <v>DAP</v>
          </cell>
          <cell r="D72" t="str">
            <v>DIVERS APN</v>
          </cell>
          <cell r="F72">
            <v>105</v>
          </cell>
          <cell r="G72">
            <v>0</v>
          </cell>
          <cell r="H72">
            <v>0</v>
          </cell>
          <cell r="I72">
            <v>0</v>
          </cell>
          <cell r="J72">
            <v>38.26</v>
          </cell>
          <cell r="K72">
            <v>-38.26</v>
          </cell>
          <cell r="L72">
            <v>0</v>
          </cell>
          <cell r="M72">
            <v>0</v>
          </cell>
          <cell r="N72">
            <v>200</v>
          </cell>
          <cell r="O72">
            <v>199.64</v>
          </cell>
          <cell r="P72">
            <v>105</v>
          </cell>
          <cell r="Q72">
            <v>143.26</v>
          </cell>
          <cell r="R72">
            <v>105</v>
          </cell>
          <cell r="S72">
            <v>-38.26</v>
          </cell>
          <cell r="T72">
            <v>94.64</v>
          </cell>
          <cell r="U72">
            <v>95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-105</v>
          </cell>
          <cell r="AB72">
            <v>0</v>
          </cell>
          <cell r="AC72">
            <v>0</v>
          </cell>
          <cell r="AD72">
            <v>38.26</v>
          </cell>
          <cell r="AF72">
            <v>94.64</v>
          </cell>
        </row>
        <row r="73">
          <cell r="A73" t="str">
            <v>DDEN</v>
          </cell>
          <cell r="B73" t="str">
            <v>N</v>
          </cell>
          <cell r="C73" t="str">
            <v>DDE</v>
          </cell>
          <cell r="D73" t="str">
            <v>TRVX POUR DES</v>
          </cell>
          <cell r="F73">
            <v>8.08</v>
          </cell>
          <cell r="G73">
            <v>0</v>
          </cell>
          <cell r="H73">
            <v>82</v>
          </cell>
          <cell r="I73">
            <v>84.05</v>
          </cell>
          <cell r="J73">
            <v>25.25</v>
          </cell>
          <cell r="K73">
            <v>-25.25</v>
          </cell>
          <cell r="L73">
            <v>-2.0499999999999998</v>
          </cell>
          <cell r="M73">
            <v>-84.05</v>
          </cell>
          <cell r="N73">
            <v>168</v>
          </cell>
          <cell r="O73">
            <v>123</v>
          </cell>
          <cell r="P73">
            <v>92.13</v>
          </cell>
          <cell r="Q73">
            <v>33.33</v>
          </cell>
          <cell r="R73">
            <v>8.08</v>
          </cell>
          <cell r="S73">
            <v>-25.25</v>
          </cell>
          <cell r="T73">
            <v>30.87</v>
          </cell>
          <cell r="U73">
            <v>75.87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-92.13</v>
          </cell>
          <cell r="AB73">
            <v>0</v>
          </cell>
          <cell r="AC73">
            <v>0</v>
          </cell>
          <cell r="AD73">
            <v>25.25</v>
          </cell>
          <cell r="AF73">
            <v>30.87</v>
          </cell>
        </row>
        <row r="74">
          <cell r="A74" t="str">
            <v>DH4N</v>
          </cell>
          <cell r="B74" t="str">
            <v>N</v>
          </cell>
          <cell r="C74" t="str">
            <v>DH4</v>
          </cell>
          <cell r="D74" t="str">
            <v>DASH8-WP14</v>
          </cell>
          <cell r="E74">
            <v>4149</v>
          </cell>
          <cell r="F74">
            <v>49184.13</v>
          </cell>
          <cell r="G74">
            <v>0</v>
          </cell>
          <cell r="H74">
            <v>57.4</v>
          </cell>
          <cell r="I74">
            <v>3599.7040000000002</v>
          </cell>
          <cell r="J74">
            <v>1575.12</v>
          </cell>
          <cell r="K74">
            <v>-1504.58</v>
          </cell>
          <cell r="L74">
            <v>-3542.3040000000001</v>
          </cell>
          <cell r="M74">
            <v>-3599.7040000000002</v>
          </cell>
          <cell r="N74">
            <v>34614</v>
          </cell>
          <cell r="O74">
            <v>37656.090070548686</v>
          </cell>
          <cell r="P74">
            <v>52783.834000000003</v>
          </cell>
          <cell r="Q74">
            <v>50759.25</v>
          </cell>
          <cell r="R74">
            <v>49184.13</v>
          </cell>
          <cell r="S74">
            <v>-1504.58</v>
          </cell>
          <cell r="T74">
            <v>-15127.743929451326</v>
          </cell>
          <cell r="U74">
            <v>-18169.834000000003</v>
          </cell>
          <cell r="V74">
            <v>0</v>
          </cell>
          <cell r="W74">
            <v>0</v>
          </cell>
          <cell r="X74">
            <v>0</v>
          </cell>
          <cell r="Y74">
            <v>34276</v>
          </cell>
          <cell r="Z74">
            <v>0</v>
          </cell>
          <cell r="AA74">
            <v>-18507.834000000003</v>
          </cell>
          <cell r="AB74">
            <v>0</v>
          </cell>
          <cell r="AC74">
            <v>0</v>
          </cell>
          <cell r="AD74">
            <v>1575.12</v>
          </cell>
          <cell r="AE74">
            <v>-642.84400000000016</v>
          </cell>
          <cell r="AF74">
            <v>-14695.167929451325</v>
          </cell>
        </row>
        <row r="75">
          <cell r="A75" t="str">
            <v>DH8N</v>
          </cell>
          <cell r="B75" t="str">
            <v>N</v>
          </cell>
          <cell r="C75" t="str">
            <v>DH8</v>
          </cell>
          <cell r="D75" t="str">
            <v>DASH8-CDV</v>
          </cell>
          <cell r="F75">
            <v>6971.69</v>
          </cell>
          <cell r="G75">
            <v>0</v>
          </cell>
          <cell r="H75">
            <v>0</v>
          </cell>
          <cell r="I75">
            <v>97.2</v>
          </cell>
          <cell r="J75">
            <v>0</v>
          </cell>
          <cell r="K75">
            <v>0</v>
          </cell>
          <cell r="L75">
            <v>-97.2</v>
          </cell>
          <cell r="M75">
            <v>-97.2</v>
          </cell>
          <cell r="N75">
            <v>0</v>
          </cell>
          <cell r="O75">
            <v>4432.0600000000004</v>
          </cell>
          <cell r="P75">
            <v>7068.89</v>
          </cell>
          <cell r="Q75">
            <v>6971.69</v>
          </cell>
          <cell r="R75">
            <v>6971.69</v>
          </cell>
          <cell r="S75">
            <v>0</v>
          </cell>
          <cell r="T75">
            <v>-2636.83</v>
          </cell>
          <cell r="U75">
            <v>-7068.89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-7068.89</v>
          </cell>
          <cell r="AB75">
            <v>0</v>
          </cell>
          <cell r="AC75">
            <v>0</v>
          </cell>
          <cell r="AD75">
            <v>0</v>
          </cell>
          <cell r="AF75">
            <v>-2636.83</v>
          </cell>
        </row>
        <row r="76">
          <cell r="A76" t="str">
            <v>DHEN</v>
          </cell>
          <cell r="B76" t="str">
            <v>N</v>
          </cell>
          <cell r="C76" t="str">
            <v>DHE</v>
          </cell>
          <cell r="D76" t="str">
            <v>DIVERS HEL</v>
          </cell>
          <cell r="F76">
            <v>0</v>
          </cell>
          <cell r="G76">
            <v>0</v>
          </cell>
          <cell r="H76">
            <v>543.79999999999995</v>
          </cell>
          <cell r="I76">
            <v>543.79999999999995</v>
          </cell>
          <cell r="J76">
            <v>1.64</v>
          </cell>
          <cell r="K76">
            <v>-1.64</v>
          </cell>
          <cell r="L76">
            <v>0</v>
          </cell>
          <cell r="M76">
            <v>-543.79999999999995</v>
          </cell>
          <cell r="N76">
            <v>533</v>
          </cell>
          <cell r="O76">
            <v>543.79999999999995</v>
          </cell>
          <cell r="P76">
            <v>543.79999999999995</v>
          </cell>
          <cell r="Q76">
            <v>1.64</v>
          </cell>
          <cell r="R76">
            <v>0</v>
          </cell>
          <cell r="S76">
            <v>-1.64</v>
          </cell>
          <cell r="T76">
            <v>0</v>
          </cell>
          <cell r="U76">
            <v>-10.8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-543.79999999999995</v>
          </cell>
          <cell r="AB76">
            <v>0</v>
          </cell>
          <cell r="AC76">
            <v>0</v>
          </cell>
          <cell r="AD76">
            <v>1.64</v>
          </cell>
          <cell r="AF76">
            <v>0</v>
          </cell>
        </row>
        <row r="77">
          <cell r="A77" t="str">
            <v>DHXN</v>
          </cell>
          <cell r="B77" t="str">
            <v>N</v>
          </cell>
          <cell r="C77" t="str">
            <v>DHX</v>
          </cell>
          <cell r="D77" t="str">
            <v>DASH8-AUTRES</v>
          </cell>
          <cell r="E77">
            <v>190</v>
          </cell>
          <cell r="F77">
            <v>488.49</v>
          </cell>
          <cell r="G77">
            <v>0</v>
          </cell>
          <cell r="H77">
            <v>5443</v>
          </cell>
          <cell r="I77">
            <v>5901.8450000000003</v>
          </cell>
          <cell r="J77">
            <v>913.66</v>
          </cell>
          <cell r="K77">
            <v>-841.09</v>
          </cell>
          <cell r="L77">
            <v>-458.84500000000003</v>
          </cell>
          <cell r="M77">
            <v>-5901.8450000000003</v>
          </cell>
          <cell r="N77">
            <v>1935</v>
          </cell>
          <cell r="O77">
            <v>6719.706799999999</v>
          </cell>
          <cell r="P77">
            <v>6540.0949999999984</v>
          </cell>
          <cell r="Q77">
            <v>1402.15</v>
          </cell>
          <cell r="R77">
            <v>488.49</v>
          </cell>
          <cell r="S77">
            <v>-841.09</v>
          </cell>
          <cell r="T77">
            <v>179.61180000000019</v>
          </cell>
          <cell r="U77">
            <v>-4605.0949999999984</v>
          </cell>
          <cell r="V77">
            <v>149.76</v>
          </cell>
          <cell r="W77">
            <v>0</v>
          </cell>
          <cell r="X77">
            <v>0</v>
          </cell>
          <cell r="Y77">
            <v>59</v>
          </cell>
          <cell r="Z77">
            <v>0</v>
          </cell>
          <cell r="AA77">
            <v>-6481.0949999999984</v>
          </cell>
          <cell r="AB77">
            <v>0</v>
          </cell>
          <cell r="AC77">
            <v>0</v>
          </cell>
          <cell r="AD77">
            <v>913.66</v>
          </cell>
          <cell r="AE77">
            <v>3.0699999999999932</v>
          </cell>
          <cell r="AF77">
            <v>178.20180000000022</v>
          </cell>
        </row>
        <row r="78">
          <cell r="A78" t="str">
            <v>DIHN</v>
          </cell>
          <cell r="B78" t="str">
            <v>N</v>
          </cell>
          <cell r="C78" t="str">
            <v>DIH</v>
          </cell>
          <cell r="D78" t="str">
            <v>TRVX POUR IHM</v>
          </cell>
          <cell r="F78">
            <v>0</v>
          </cell>
          <cell r="G78">
            <v>0</v>
          </cell>
          <cell r="H78">
            <v>205</v>
          </cell>
          <cell r="I78">
            <v>246</v>
          </cell>
          <cell r="J78">
            <v>16.89</v>
          </cell>
          <cell r="K78">
            <v>-16.89</v>
          </cell>
          <cell r="L78">
            <v>-41</v>
          </cell>
          <cell r="M78">
            <v>-246</v>
          </cell>
          <cell r="N78">
            <v>240</v>
          </cell>
          <cell r="O78">
            <v>246</v>
          </cell>
          <cell r="P78">
            <v>246</v>
          </cell>
          <cell r="Q78">
            <v>16.89</v>
          </cell>
          <cell r="R78">
            <v>0</v>
          </cell>
          <cell r="S78">
            <v>-16.89</v>
          </cell>
          <cell r="T78">
            <v>0</v>
          </cell>
          <cell r="U78">
            <v>-6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-246</v>
          </cell>
          <cell r="AB78">
            <v>0</v>
          </cell>
          <cell r="AC78">
            <v>0</v>
          </cell>
          <cell r="AD78">
            <v>16.89</v>
          </cell>
          <cell r="AF78">
            <v>0</v>
          </cell>
        </row>
        <row r="79">
          <cell r="A79" t="str">
            <v>DSUN</v>
          </cell>
          <cell r="B79" t="str">
            <v>N</v>
          </cell>
          <cell r="C79" t="str">
            <v>DSU</v>
          </cell>
          <cell r="D79" t="str">
            <v>DIVERS SSU</v>
          </cell>
          <cell r="F79">
            <v>58.14</v>
          </cell>
          <cell r="G79">
            <v>0</v>
          </cell>
          <cell r="H79">
            <v>61.5</v>
          </cell>
          <cell r="I79">
            <v>61.5</v>
          </cell>
          <cell r="J79">
            <v>11.11</v>
          </cell>
          <cell r="K79">
            <v>-11.11</v>
          </cell>
          <cell r="L79">
            <v>0</v>
          </cell>
          <cell r="M79">
            <v>-61.5</v>
          </cell>
          <cell r="N79">
            <v>182</v>
          </cell>
          <cell r="O79">
            <v>184.5</v>
          </cell>
          <cell r="P79">
            <v>119.64</v>
          </cell>
          <cell r="Q79">
            <v>69.25</v>
          </cell>
          <cell r="R79">
            <v>58.14</v>
          </cell>
          <cell r="S79">
            <v>-11.11</v>
          </cell>
          <cell r="T79">
            <v>64.86</v>
          </cell>
          <cell r="U79">
            <v>62.36</v>
          </cell>
          <cell r="V79">
            <v>0</v>
          </cell>
          <cell r="W79">
            <v>0</v>
          </cell>
          <cell r="X79">
            <v>0</v>
          </cell>
          <cell r="Y79">
            <v>120</v>
          </cell>
          <cell r="Z79">
            <v>0</v>
          </cell>
          <cell r="AA79">
            <v>0.35999999999999943</v>
          </cell>
          <cell r="AB79">
            <v>0</v>
          </cell>
          <cell r="AC79">
            <v>0</v>
          </cell>
          <cell r="AD79">
            <v>11.11</v>
          </cell>
          <cell r="AF79">
            <v>64.86</v>
          </cell>
        </row>
        <row r="80">
          <cell r="A80" t="str">
            <v>EAAN</v>
          </cell>
          <cell r="B80" t="str">
            <v>N</v>
          </cell>
          <cell r="C80" t="str">
            <v>EAA</v>
          </cell>
          <cell r="D80" t="str">
            <v>ETUDES AAE</v>
          </cell>
          <cell r="E80">
            <v>300</v>
          </cell>
          <cell r="F80">
            <v>1723.24</v>
          </cell>
          <cell r="G80">
            <v>0</v>
          </cell>
          <cell r="H80">
            <v>945.88</v>
          </cell>
          <cell r="I80">
            <v>1652.1525999999999</v>
          </cell>
          <cell r="J80">
            <v>510.52</v>
          </cell>
          <cell r="K80">
            <v>-402.93</v>
          </cell>
          <cell r="L80">
            <v>-706.27260000000012</v>
          </cell>
          <cell r="M80">
            <v>-1652.1525999999999</v>
          </cell>
          <cell r="N80">
            <v>3723</v>
          </cell>
          <cell r="O80">
            <v>3582.4080000000004</v>
          </cell>
          <cell r="P80">
            <v>3721.5326</v>
          </cell>
          <cell r="Q80">
            <v>2233.7600000000002</v>
          </cell>
          <cell r="R80">
            <v>1723.24</v>
          </cell>
          <cell r="S80">
            <v>-402.93</v>
          </cell>
          <cell r="T80">
            <v>-139.1246000000001</v>
          </cell>
          <cell r="U80">
            <v>1.4673999999999978</v>
          </cell>
          <cell r="V80">
            <v>346.14</v>
          </cell>
          <cell r="W80">
            <v>0</v>
          </cell>
          <cell r="X80">
            <v>0</v>
          </cell>
          <cell r="Y80">
            <v>2008</v>
          </cell>
          <cell r="Z80">
            <v>0</v>
          </cell>
          <cell r="AA80">
            <v>-1713.5326</v>
          </cell>
          <cell r="AB80">
            <v>0</v>
          </cell>
          <cell r="AC80">
            <v>0</v>
          </cell>
          <cell r="AD80">
            <v>510.52</v>
          </cell>
          <cell r="AE80">
            <v>0.88739999999995689</v>
          </cell>
          <cell r="AF80">
            <v>-140.01200000000006</v>
          </cell>
        </row>
        <row r="81">
          <cell r="A81" t="str">
            <v>EAPN</v>
          </cell>
          <cell r="B81" t="str">
            <v>N</v>
          </cell>
          <cell r="C81" t="str">
            <v>EAP</v>
          </cell>
          <cell r="D81" t="str">
            <v>ETUDES APN</v>
          </cell>
          <cell r="F81">
            <v>2549.19</v>
          </cell>
          <cell r="G81">
            <v>0</v>
          </cell>
          <cell r="H81">
            <v>4293.7714980731998</v>
          </cell>
          <cell r="I81">
            <v>3756.79</v>
          </cell>
          <cell r="J81">
            <v>1240.94</v>
          </cell>
          <cell r="K81">
            <v>-1240.94</v>
          </cell>
          <cell r="L81">
            <v>536.9814980732001</v>
          </cell>
          <cell r="M81">
            <v>-3756.79</v>
          </cell>
          <cell r="N81">
            <v>6965</v>
          </cell>
          <cell r="O81">
            <v>7472.4537452326804</v>
          </cell>
          <cell r="P81">
            <v>7040.35</v>
          </cell>
          <cell r="Q81">
            <v>3790.13</v>
          </cell>
          <cell r="R81">
            <v>2549.19</v>
          </cell>
          <cell r="S81">
            <v>-1240.94</v>
          </cell>
          <cell r="T81">
            <v>432.10374523268024</v>
          </cell>
          <cell r="U81">
            <v>-75.349999999998545</v>
          </cell>
          <cell r="V81">
            <v>693.12</v>
          </cell>
          <cell r="W81">
            <v>0</v>
          </cell>
          <cell r="X81">
            <v>0</v>
          </cell>
          <cell r="Y81">
            <v>4946</v>
          </cell>
          <cell r="Z81">
            <v>0</v>
          </cell>
          <cell r="AA81">
            <v>-2094.35</v>
          </cell>
          <cell r="AB81">
            <v>0</v>
          </cell>
          <cell r="AC81">
            <v>0</v>
          </cell>
          <cell r="AD81">
            <v>1240.94</v>
          </cell>
          <cell r="AF81">
            <v>432.10374523268024</v>
          </cell>
        </row>
        <row r="82">
          <cell r="A82" t="str">
            <v>EARN</v>
          </cell>
          <cell r="B82" t="str">
            <v>N</v>
          </cell>
          <cell r="C82" t="str">
            <v>EAR</v>
          </cell>
          <cell r="D82" t="str">
            <v>ETUDES ARA</v>
          </cell>
          <cell r="F82">
            <v>561.96</v>
          </cell>
          <cell r="G82">
            <v>0</v>
          </cell>
          <cell r="H82">
            <v>90.4</v>
          </cell>
          <cell r="I82">
            <v>139.6</v>
          </cell>
          <cell r="J82">
            <v>15.15</v>
          </cell>
          <cell r="K82">
            <v>-15.15</v>
          </cell>
          <cell r="L82">
            <v>-49.2</v>
          </cell>
          <cell r="M82">
            <v>-139.6</v>
          </cell>
          <cell r="N82">
            <v>691</v>
          </cell>
          <cell r="O82">
            <v>690.23</v>
          </cell>
          <cell r="P82">
            <v>701.56</v>
          </cell>
          <cell r="Q82">
            <v>577.11</v>
          </cell>
          <cell r="R82">
            <v>561.96</v>
          </cell>
          <cell r="S82">
            <v>-15.15</v>
          </cell>
          <cell r="T82">
            <v>-11.33</v>
          </cell>
          <cell r="U82">
            <v>-10.560000000000059</v>
          </cell>
          <cell r="V82">
            <v>0</v>
          </cell>
          <cell r="W82">
            <v>0</v>
          </cell>
          <cell r="X82">
            <v>0</v>
          </cell>
          <cell r="Y82">
            <v>600</v>
          </cell>
          <cell r="Z82">
            <v>0</v>
          </cell>
          <cell r="AA82">
            <v>-101.56</v>
          </cell>
          <cell r="AB82">
            <v>0</v>
          </cell>
          <cell r="AC82">
            <v>0</v>
          </cell>
          <cell r="AD82">
            <v>15.15</v>
          </cell>
          <cell r="AF82">
            <v>-11.33</v>
          </cell>
        </row>
        <row r="83">
          <cell r="A83" t="str">
            <v>EISN</v>
          </cell>
          <cell r="B83" t="str">
            <v>N</v>
          </cell>
          <cell r="C83" t="str">
            <v>EIS</v>
          </cell>
          <cell r="D83" t="str">
            <v>EIS</v>
          </cell>
          <cell r="F83">
            <v>5471.07</v>
          </cell>
          <cell r="G83">
            <v>0</v>
          </cell>
          <cell r="H83">
            <v>10963.122000000001</v>
          </cell>
          <cell r="I83">
            <v>15452.747560000002</v>
          </cell>
          <cell r="J83">
            <v>2319.04</v>
          </cell>
          <cell r="K83">
            <v>-2319.04</v>
          </cell>
          <cell r="L83">
            <v>-4489.6255600000004</v>
          </cell>
          <cell r="M83">
            <v>-15452.747560000002</v>
          </cell>
          <cell r="N83">
            <v>18435</v>
          </cell>
          <cell r="O83">
            <v>20318.703000000001</v>
          </cell>
          <cell r="P83">
            <v>21715.562840000006</v>
          </cell>
          <cell r="Q83">
            <v>7790.11</v>
          </cell>
          <cell r="R83">
            <v>5471.07</v>
          </cell>
          <cell r="S83">
            <v>-2319.04</v>
          </cell>
          <cell r="T83">
            <v>-1396.859840000001</v>
          </cell>
          <cell r="U83">
            <v>-3280.562840000006</v>
          </cell>
          <cell r="V83">
            <v>791.74528000000009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-21715.562840000006</v>
          </cell>
          <cell r="AB83">
            <v>0</v>
          </cell>
          <cell r="AC83">
            <v>0</v>
          </cell>
          <cell r="AD83">
            <v>2319.04</v>
          </cell>
          <cell r="AF83">
            <v>-1396.859840000001</v>
          </cell>
        </row>
        <row r="84">
          <cell r="A84" t="str">
            <v>FADN</v>
          </cell>
          <cell r="B84" t="str">
            <v>N</v>
          </cell>
          <cell r="C84" t="str">
            <v>FAD</v>
          </cell>
          <cell r="D84" t="str">
            <v>FADEC</v>
          </cell>
          <cell r="E84">
            <v>1811</v>
          </cell>
          <cell r="F84">
            <v>11919.18</v>
          </cell>
          <cell r="G84">
            <v>0</v>
          </cell>
          <cell r="H84">
            <v>1904.415</v>
          </cell>
          <cell r="I84">
            <v>1717.077</v>
          </cell>
          <cell r="J84">
            <v>742.9700000000006</v>
          </cell>
          <cell r="K84">
            <v>-594.91000000000054</v>
          </cell>
          <cell r="L84">
            <v>187.33799999999999</v>
          </cell>
          <cell r="M84">
            <v>-1717.077</v>
          </cell>
          <cell r="N84">
            <v>11498</v>
          </cell>
          <cell r="O84">
            <v>11858.1432</v>
          </cell>
          <cell r="P84">
            <v>13636.257000000001</v>
          </cell>
          <cell r="Q84">
            <v>12662.15</v>
          </cell>
          <cell r="R84">
            <v>11919.18</v>
          </cell>
          <cell r="S84">
            <v>-594.91000000000054</v>
          </cell>
          <cell r="T84">
            <v>-1778.1138000000003</v>
          </cell>
          <cell r="U84">
            <v>-2138.2570000000014</v>
          </cell>
          <cell r="V84">
            <v>0</v>
          </cell>
          <cell r="W84">
            <v>0</v>
          </cell>
          <cell r="X84">
            <v>0</v>
          </cell>
          <cell r="Y84">
            <v>9313</v>
          </cell>
          <cell r="Z84">
            <v>0</v>
          </cell>
          <cell r="AA84">
            <v>-4323.2570000000014</v>
          </cell>
          <cell r="AB84">
            <v>0</v>
          </cell>
          <cell r="AC84">
            <v>0</v>
          </cell>
          <cell r="AD84">
            <v>742.9700000000006</v>
          </cell>
          <cell r="AE84">
            <v>-457.13200000000001</v>
          </cell>
          <cell r="AF84">
            <v>-1610.4418000000005</v>
          </cell>
        </row>
        <row r="85">
          <cell r="A85" t="str">
            <v>FM1N</v>
          </cell>
          <cell r="B85" t="str">
            <v>N</v>
          </cell>
          <cell r="C85" t="str">
            <v>FM1</v>
          </cell>
          <cell r="D85" t="str">
            <v>FMC1</v>
          </cell>
          <cell r="E85">
            <v>600</v>
          </cell>
          <cell r="F85">
            <v>14802.67</v>
          </cell>
          <cell r="G85">
            <v>0</v>
          </cell>
          <cell r="H85">
            <v>1489.5779230620799</v>
          </cell>
          <cell r="I85">
            <v>6033.64</v>
          </cell>
          <cell r="J85">
            <v>1279.04</v>
          </cell>
          <cell r="K85">
            <v>-1258.75</v>
          </cell>
          <cell r="L85">
            <v>-4544.0620769379193</v>
          </cell>
          <cell r="M85">
            <v>-6033.64</v>
          </cell>
          <cell r="N85">
            <v>19585</v>
          </cell>
          <cell r="O85">
            <v>19892.982819426077</v>
          </cell>
          <cell r="P85">
            <v>20910.179</v>
          </cell>
          <cell r="Q85">
            <v>16081.71</v>
          </cell>
          <cell r="R85">
            <v>14802.67</v>
          </cell>
          <cell r="S85">
            <v>-1258.75</v>
          </cell>
          <cell r="T85">
            <v>-1017.1961805739209</v>
          </cell>
          <cell r="U85">
            <v>-1325.1790000000001</v>
          </cell>
          <cell r="V85">
            <v>73.869</v>
          </cell>
          <cell r="W85">
            <v>0</v>
          </cell>
          <cell r="X85">
            <v>0</v>
          </cell>
          <cell r="Y85">
            <v>17250</v>
          </cell>
          <cell r="Z85">
            <v>0</v>
          </cell>
          <cell r="AA85">
            <v>-3660.1790000000001</v>
          </cell>
          <cell r="AB85">
            <v>0</v>
          </cell>
          <cell r="AC85">
            <v>0</v>
          </cell>
          <cell r="AD85">
            <v>1279.04</v>
          </cell>
          <cell r="AE85">
            <v>-123.61</v>
          </cell>
          <cell r="AF85">
            <v>-923.17910370000095</v>
          </cell>
        </row>
        <row r="86">
          <cell r="A86" t="str">
            <v>FM2N</v>
          </cell>
          <cell r="B86" t="str">
            <v>N</v>
          </cell>
          <cell r="C86" t="str">
            <v>FM2</v>
          </cell>
          <cell r="D86" t="str">
            <v>FMC2</v>
          </cell>
          <cell r="E86">
            <v>139</v>
          </cell>
          <cell r="F86">
            <v>7849.89</v>
          </cell>
          <cell r="G86">
            <v>0</v>
          </cell>
          <cell r="H86">
            <v>0</v>
          </cell>
          <cell r="I86">
            <v>57.4</v>
          </cell>
          <cell r="J86">
            <v>183.59</v>
          </cell>
          <cell r="K86">
            <v>-183.59</v>
          </cell>
          <cell r="L86">
            <v>-57.4</v>
          </cell>
          <cell r="M86">
            <v>-57.4</v>
          </cell>
          <cell r="N86">
            <v>6945</v>
          </cell>
          <cell r="O86">
            <v>6689.976999999999</v>
          </cell>
          <cell r="P86">
            <v>7907.29</v>
          </cell>
          <cell r="Q86">
            <v>8033.48</v>
          </cell>
          <cell r="R86">
            <v>7849.89</v>
          </cell>
          <cell r="S86">
            <v>-183.59</v>
          </cell>
          <cell r="T86">
            <v>-1217.3130000000001</v>
          </cell>
          <cell r="U86">
            <v>-962.29</v>
          </cell>
          <cell r="V86">
            <v>0</v>
          </cell>
          <cell r="W86">
            <v>0</v>
          </cell>
          <cell r="X86">
            <v>0</v>
          </cell>
          <cell r="Y86">
            <v>6945</v>
          </cell>
          <cell r="Z86">
            <v>1105</v>
          </cell>
          <cell r="AA86">
            <v>-962.29</v>
          </cell>
          <cell r="AB86">
            <v>0</v>
          </cell>
          <cell r="AC86">
            <v>0</v>
          </cell>
          <cell r="AD86">
            <v>183.59</v>
          </cell>
          <cell r="AE86">
            <v>9.09</v>
          </cell>
          <cell r="AF86">
            <v>-1312.7260000000001</v>
          </cell>
        </row>
        <row r="87">
          <cell r="A87" t="str">
            <v>FMGN</v>
          </cell>
          <cell r="B87" t="str">
            <v>N</v>
          </cell>
          <cell r="C87" t="str">
            <v>FMG</v>
          </cell>
          <cell r="D87" t="str">
            <v>FMGC/FMGEC</v>
          </cell>
          <cell r="F87">
            <v>9064.81</v>
          </cell>
          <cell r="G87">
            <v>0</v>
          </cell>
          <cell r="H87">
            <v>1325.63</v>
          </cell>
          <cell r="I87">
            <v>7971.2660000000005</v>
          </cell>
          <cell r="J87">
            <v>1071.3699999999999</v>
          </cell>
          <cell r="K87">
            <v>-1071.3699999999999</v>
          </cell>
          <cell r="L87">
            <v>-6645.6360000000004</v>
          </cell>
          <cell r="M87">
            <v>-7971.2660000000005</v>
          </cell>
          <cell r="N87">
            <v>16323</v>
          </cell>
          <cell r="O87">
            <v>17089.251080000002</v>
          </cell>
          <cell r="P87">
            <v>17751.596000000001</v>
          </cell>
          <cell r="Q87">
            <v>10136.18</v>
          </cell>
          <cell r="R87">
            <v>9064.81</v>
          </cell>
          <cell r="S87">
            <v>-1071.3699999999999</v>
          </cell>
          <cell r="T87">
            <v>-662.34491999999887</v>
          </cell>
          <cell r="U87">
            <v>-1428.5960000000014</v>
          </cell>
          <cell r="V87">
            <v>715.52</v>
          </cell>
          <cell r="W87">
            <v>0</v>
          </cell>
          <cell r="X87">
            <v>0</v>
          </cell>
          <cell r="Y87">
            <v>13930</v>
          </cell>
          <cell r="Z87">
            <v>9000</v>
          </cell>
          <cell r="AA87">
            <v>-3821.5960000000014</v>
          </cell>
          <cell r="AB87">
            <v>0</v>
          </cell>
          <cell r="AC87">
            <v>0</v>
          </cell>
          <cell r="AD87">
            <v>1071.3699999999999</v>
          </cell>
          <cell r="AF87">
            <v>-662.34491999999887</v>
          </cell>
        </row>
        <row r="88">
          <cell r="A88" t="str">
            <v>GEXN</v>
          </cell>
          <cell r="B88" t="str">
            <v>N</v>
          </cell>
          <cell r="C88" t="str">
            <v>GEX</v>
          </cell>
          <cell r="D88" t="str">
            <v>GEX</v>
          </cell>
          <cell r="F88">
            <v>14752.58</v>
          </cell>
          <cell r="G88">
            <v>0</v>
          </cell>
          <cell r="H88">
            <v>0</v>
          </cell>
          <cell r="I88">
            <v>0</v>
          </cell>
          <cell r="J88">
            <v>344.27</v>
          </cell>
          <cell r="K88">
            <v>-1218.5899999999999</v>
          </cell>
          <cell r="L88">
            <v>0</v>
          </cell>
          <cell r="M88">
            <v>0</v>
          </cell>
          <cell r="N88">
            <v>11565</v>
          </cell>
          <cell r="O88">
            <v>12689.855947</v>
          </cell>
          <cell r="P88">
            <v>14279.71</v>
          </cell>
          <cell r="Q88">
            <v>15096.85</v>
          </cell>
          <cell r="R88">
            <v>13878.26</v>
          </cell>
          <cell r="S88">
            <v>-1218.5899999999999</v>
          </cell>
          <cell r="T88">
            <v>-1589.8540529999991</v>
          </cell>
          <cell r="U88">
            <v>-2714.71</v>
          </cell>
          <cell r="V88">
            <v>0</v>
          </cell>
          <cell r="W88">
            <v>0</v>
          </cell>
          <cell r="X88">
            <v>0</v>
          </cell>
          <cell r="Y88">
            <v>10465</v>
          </cell>
          <cell r="Z88">
            <v>2678</v>
          </cell>
          <cell r="AA88">
            <v>-3814.71</v>
          </cell>
          <cell r="AB88">
            <v>-874.32</v>
          </cell>
          <cell r="AC88">
            <v>0</v>
          </cell>
          <cell r="AD88">
            <v>1218.5899999999999</v>
          </cell>
          <cell r="AF88">
            <v>-1589.8540529999991</v>
          </cell>
        </row>
        <row r="89">
          <cell r="A89" t="str">
            <v>HELN</v>
          </cell>
          <cell r="B89" t="str">
            <v>N</v>
          </cell>
          <cell r="C89" t="str">
            <v>HEL</v>
          </cell>
          <cell r="D89" t="str">
            <v>RAO HEL</v>
          </cell>
          <cell r="F89">
            <v>525.25</v>
          </cell>
          <cell r="G89">
            <v>0</v>
          </cell>
          <cell r="H89">
            <v>0</v>
          </cell>
          <cell r="I89">
            <v>0</v>
          </cell>
          <cell r="J89">
            <v>42.47</v>
          </cell>
          <cell r="K89">
            <v>-402.18</v>
          </cell>
          <cell r="L89">
            <v>0</v>
          </cell>
          <cell r="M89">
            <v>0</v>
          </cell>
          <cell r="N89">
            <v>200</v>
          </cell>
          <cell r="O89">
            <v>141</v>
          </cell>
          <cell r="P89">
            <v>243.44</v>
          </cell>
          <cell r="Q89">
            <v>567.72</v>
          </cell>
          <cell r="R89">
            <v>149.96</v>
          </cell>
          <cell r="S89">
            <v>-402.18</v>
          </cell>
          <cell r="T89">
            <v>-102.44</v>
          </cell>
          <cell r="U89">
            <v>-43.44</v>
          </cell>
          <cell r="V89">
            <v>0</v>
          </cell>
          <cell r="W89">
            <v>0</v>
          </cell>
          <cell r="X89">
            <v>0</v>
          </cell>
          <cell r="Y89">
            <v>100</v>
          </cell>
          <cell r="Z89">
            <v>0</v>
          </cell>
          <cell r="AA89">
            <v>-143.44</v>
          </cell>
          <cell r="AB89">
            <v>-359.71</v>
          </cell>
          <cell r="AC89">
            <v>15.58</v>
          </cell>
          <cell r="AD89">
            <v>417.76</v>
          </cell>
          <cell r="AF89">
            <v>-102.44</v>
          </cell>
        </row>
        <row r="90">
          <cell r="A90" t="str">
            <v>ID3N</v>
          </cell>
          <cell r="B90" t="str">
            <v>N</v>
          </cell>
          <cell r="C90" t="str">
            <v>ID3</v>
          </cell>
          <cell r="D90" t="str">
            <v>DTP IDEE3</v>
          </cell>
          <cell r="E90">
            <v>324</v>
          </cell>
          <cell r="F90">
            <v>3362.4</v>
          </cell>
          <cell r="G90">
            <v>0</v>
          </cell>
          <cell r="H90">
            <v>3527.59</v>
          </cell>
          <cell r="I90">
            <v>9026.1123000000007</v>
          </cell>
          <cell r="J90">
            <v>264.04000000000002</v>
          </cell>
          <cell r="K90">
            <v>-255.66</v>
          </cell>
          <cell r="L90">
            <v>-5498.5223000000005</v>
          </cell>
          <cell r="M90">
            <v>-9026.1123000000007</v>
          </cell>
          <cell r="N90">
            <v>13019</v>
          </cell>
          <cell r="O90">
            <v>13835.795</v>
          </cell>
          <cell r="P90">
            <v>14344.8423</v>
          </cell>
          <cell r="Q90">
            <v>3626.44</v>
          </cell>
          <cell r="R90">
            <v>3362.4</v>
          </cell>
          <cell r="S90">
            <v>-255.66</v>
          </cell>
          <cell r="T90">
            <v>-509.04729999999995</v>
          </cell>
          <cell r="U90">
            <v>-1325.8423000000003</v>
          </cell>
          <cell r="V90">
            <v>1956.33</v>
          </cell>
          <cell r="W90">
            <v>0</v>
          </cell>
          <cell r="X90">
            <v>0</v>
          </cell>
          <cell r="Y90">
            <v>13019</v>
          </cell>
          <cell r="Z90">
            <v>7189</v>
          </cell>
          <cell r="AA90">
            <v>-1325.8423000000003</v>
          </cell>
          <cell r="AB90">
            <v>0</v>
          </cell>
          <cell r="AC90">
            <v>0</v>
          </cell>
          <cell r="AD90">
            <v>264.04000000000002</v>
          </cell>
          <cell r="AE90">
            <v>-263.05230000000006</v>
          </cell>
          <cell r="AF90">
            <v>-506.995</v>
          </cell>
        </row>
        <row r="91">
          <cell r="A91" t="str">
            <v>IMSN</v>
          </cell>
          <cell r="B91" t="str">
            <v>N</v>
          </cell>
          <cell r="C91" t="str">
            <v>IMS</v>
          </cell>
          <cell r="D91" t="str">
            <v>IMS400</v>
          </cell>
          <cell r="F91">
            <v>2934.55</v>
          </cell>
          <cell r="G91">
            <v>0</v>
          </cell>
          <cell r="H91">
            <v>7154.1090000000004</v>
          </cell>
          <cell r="I91">
            <v>9683.8685600000008</v>
          </cell>
          <cell r="J91">
            <v>793.21</v>
          </cell>
          <cell r="K91">
            <v>-793.21</v>
          </cell>
          <cell r="L91">
            <v>-2529.7595600000004</v>
          </cell>
          <cell r="M91">
            <v>-9683.8685600000008</v>
          </cell>
          <cell r="N91">
            <v>5700</v>
          </cell>
          <cell r="O91">
            <v>11204.581000000002</v>
          </cell>
          <cell r="P91">
            <v>12892.283840000002</v>
          </cell>
          <cell r="Q91">
            <v>3727.76</v>
          </cell>
          <cell r="R91">
            <v>2934.55</v>
          </cell>
          <cell r="S91">
            <v>-793.21</v>
          </cell>
          <cell r="T91">
            <v>-1687.7028399999999</v>
          </cell>
          <cell r="U91">
            <v>-7192.2838400000019</v>
          </cell>
          <cell r="V91">
            <v>273.86528000000004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-12892.283840000002</v>
          </cell>
          <cell r="AB91">
            <v>0</v>
          </cell>
          <cell r="AC91">
            <v>0</v>
          </cell>
          <cell r="AD91">
            <v>793.21</v>
          </cell>
          <cell r="AF91">
            <v>-1687.7028399999999</v>
          </cell>
        </row>
        <row r="92">
          <cell r="A92" t="str">
            <v>MIRN</v>
          </cell>
          <cell r="B92" t="str">
            <v>N</v>
          </cell>
          <cell r="C92" t="str">
            <v>MIR</v>
          </cell>
          <cell r="D92" t="str">
            <v>MIRAGE</v>
          </cell>
          <cell r="F92">
            <v>3110.93</v>
          </cell>
          <cell r="G92">
            <v>0</v>
          </cell>
          <cell r="H92">
            <v>10772.175999999999</v>
          </cell>
          <cell r="I92">
            <v>12328.95376</v>
          </cell>
          <cell r="J92">
            <v>1295.93</v>
          </cell>
          <cell r="K92">
            <v>-1295.93</v>
          </cell>
          <cell r="L92">
            <v>-1556.7777600000006</v>
          </cell>
          <cell r="M92">
            <v>-12328.95376</v>
          </cell>
          <cell r="N92">
            <v>1632</v>
          </cell>
          <cell r="O92">
            <v>15993.675999999998</v>
          </cell>
          <cell r="P92">
            <v>16552.189560000003</v>
          </cell>
          <cell r="Q92">
            <v>4406.8599999999997</v>
          </cell>
          <cell r="R92">
            <v>3110.93</v>
          </cell>
          <cell r="S92">
            <v>-1295.93</v>
          </cell>
          <cell r="T92">
            <v>-558.51356000000101</v>
          </cell>
          <cell r="U92">
            <v>-14920.189560000003</v>
          </cell>
          <cell r="V92">
            <v>1112.3058000000001</v>
          </cell>
          <cell r="W92">
            <v>0</v>
          </cell>
          <cell r="X92">
            <v>0</v>
          </cell>
          <cell r="Y92">
            <v>87</v>
          </cell>
          <cell r="Z92">
            <v>0</v>
          </cell>
          <cell r="AA92">
            <v>-16465.189560000003</v>
          </cell>
          <cell r="AB92">
            <v>0</v>
          </cell>
          <cell r="AC92">
            <v>0</v>
          </cell>
          <cell r="AD92">
            <v>1295.93</v>
          </cell>
          <cell r="AF92">
            <v>-558.51356000000101</v>
          </cell>
        </row>
        <row r="93">
          <cell r="A93" t="str">
            <v>NH9N</v>
          </cell>
          <cell r="B93" t="str">
            <v>N</v>
          </cell>
          <cell r="C93" t="str">
            <v>NH9</v>
          </cell>
          <cell r="D93" t="str">
            <v>NH90</v>
          </cell>
          <cell r="E93">
            <v>1726</v>
          </cell>
          <cell r="F93">
            <v>25106.97</v>
          </cell>
          <cell r="G93">
            <v>0</v>
          </cell>
          <cell r="H93">
            <v>2736.45</v>
          </cell>
          <cell r="I93">
            <v>4125.8624999999993</v>
          </cell>
          <cell r="J93">
            <v>1046.1600000000001</v>
          </cell>
          <cell r="K93">
            <v>-1046.1600000000001</v>
          </cell>
          <cell r="L93">
            <v>-1389.4125000000001</v>
          </cell>
          <cell r="M93">
            <v>-4125.8624999999993</v>
          </cell>
          <cell r="N93">
            <v>28469</v>
          </cell>
          <cell r="O93">
            <v>29256.192999777802</v>
          </cell>
          <cell r="P93">
            <v>29338.3109</v>
          </cell>
          <cell r="Q93">
            <v>26153.13</v>
          </cell>
          <cell r="R93">
            <v>25106.97</v>
          </cell>
          <cell r="S93">
            <v>-1046.1600000000001</v>
          </cell>
          <cell r="T93">
            <v>-82.117900222198301</v>
          </cell>
          <cell r="U93">
            <v>-869.3109000000004</v>
          </cell>
          <cell r="V93">
            <v>105.47840000000001</v>
          </cell>
          <cell r="W93">
            <v>0</v>
          </cell>
          <cell r="X93">
            <v>0</v>
          </cell>
          <cell r="Y93">
            <v>24340</v>
          </cell>
          <cell r="Z93">
            <v>3800</v>
          </cell>
          <cell r="AA93">
            <v>-4998.3109000000004</v>
          </cell>
          <cell r="AB93">
            <v>0</v>
          </cell>
          <cell r="AC93">
            <v>0</v>
          </cell>
          <cell r="AD93">
            <v>1046.1600000000001</v>
          </cell>
          <cell r="AE93">
            <v>-146.11000000000001</v>
          </cell>
          <cell r="AF93">
            <v>63.992099777801826</v>
          </cell>
        </row>
        <row r="94">
          <cell r="A94" t="str">
            <v>NMRN</v>
          </cell>
          <cell r="B94" t="str">
            <v>N</v>
          </cell>
          <cell r="C94" t="str">
            <v>NMR</v>
          </cell>
          <cell r="D94" t="str">
            <v>NIMROD</v>
          </cell>
          <cell r="E94">
            <v>3785</v>
          </cell>
          <cell r="F94">
            <v>20883.23</v>
          </cell>
          <cell r="G94">
            <v>0</v>
          </cell>
          <cell r="H94">
            <v>6562.4320000360012</v>
          </cell>
          <cell r="I94">
            <v>16804.330000000002</v>
          </cell>
          <cell r="J94">
            <v>4317.57</v>
          </cell>
          <cell r="K94">
            <v>-3423.93</v>
          </cell>
          <cell r="L94">
            <v>-10241.897999964001</v>
          </cell>
          <cell r="M94">
            <v>-16804.330000000002</v>
          </cell>
          <cell r="N94">
            <v>34540</v>
          </cell>
          <cell r="O94">
            <v>34696.170999820002</v>
          </cell>
          <cell r="P94">
            <v>37926.65</v>
          </cell>
          <cell r="Q94">
            <v>25200.799999999999</v>
          </cell>
          <cell r="R94">
            <v>20883.23</v>
          </cell>
          <cell r="S94">
            <v>-3423.93</v>
          </cell>
          <cell r="T94">
            <v>-3230.4790001800011</v>
          </cell>
          <cell r="U94">
            <v>-3386.6500000000087</v>
          </cell>
          <cell r="V94">
            <v>20.84</v>
          </cell>
          <cell r="W94">
            <v>218.25</v>
          </cell>
          <cell r="X94">
            <v>0</v>
          </cell>
          <cell r="Y94">
            <v>28984</v>
          </cell>
          <cell r="Z94">
            <v>0</v>
          </cell>
          <cell r="AA94">
            <v>-8942.6500000000087</v>
          </cell>
          <cell r="AB94">
            <v>0</v>
          </cell>
          <cell r="AC94">
            <v>0</v>
          </cell>
          <cell r="AD94">
            <v>4317.57</v>
          </cell>
          <cell r="AE94">
            <v>-1080.6300000000001</v>
          </cell>
          <cell r="AF94">
            <v>-2812.2190001800013</v>
          </cell>
        </row>
        <row r="95">
          <cell r="A95" t="str">
            <v>OBSN</v>
          </cell>
          <cell r="B95" t="str">
            <v>N</v>
          </cell>
          <cell r="C95" t="str">
            <v>OBS</v>
          </cell>
          <cell r="D95" t="str">
            <v>OBSOLESCENCE</v>
          </cell>
          <cell r="E95">
            <v>7056</v>
          </cell>
          <cell r="F95">
            <v>455.51</v>
          </cell>
          <cell r="G95">
            <v>0</v>
          </cell>
          <cell r="H95">
            <v>4097.72</v>
          </cell>
          <cell r="I95">
            <v>4626.91</v>
          </cell>
          <cell r="J95">
            <v>529.01</v>
          </cell>
          <cell r="K95">
            <v>-286.75</v>
          </cell>
          <cell r="L95">
            <v>-529.19000000000005</v>
          </cell>
          <cell r="M95">
            <v>-4626.91</v>
          </cell>
          <cell r="N95">
            <v>12842</v>
          </cell>
          <cell r="O95">
            <v>13354.19</v>
          </cell>
          <cell r="P95">
            <v>13353.967000000001</v>
          </cell>
          <cell r="Q95">
            <v>984.52</v>
          </cell>
          <cell r="R95">
            <v>455.51</v>
          </cell>
          <cell r="S95">
            <v>-286.75</v>
          </cell>
          <cell r="T95">
            <v>0.22299999999813735</v>
          </cell>
          <cell r="U95">
            <v>-511.96700000000055</v>
          </cell>
          <cell r="V95">
            <v>7036.8950000000004</v>
          </cell>
          <cell r="W95">
            <v>1234.652</v>
          </cell>
          <cell r="X95">
            <v>0</v>
          </cell>
          <cell r="Y95">
            <v>0</v>
          </cell>
          <cell r="Z95">
            <v>0</v>
          </cell>
          <cell r="AA95">
            <v>-13353.967000000001</v>
          </cell>
          <cell r="AB95">
            <v>0</v>
          </cell>
          <cell r="AC95">
            <v>0</v>
          </cell>
          <cell r="AD95">
            <v>529.01</v>
          </cell>
          <cell r="AE95">
            <v>329.49</v>
          </cell>
          <cell r="AF95">
            <v>1.9929999999985739</v>
          </cell>
        </row>
        <row r="96">
          <cell r="A96" t="str">
            <v>PRTN</v>
          </cell>
          <cell r="B96" t="str">
            <v>N</v>
          </cell>
          <cell r="C96" t="str">
            <v>PRT</v>
          </cell>
          <cell r="D96" t="str">
            <v>PRINTER</v>
          </cell>
          <cell r="F96">
            <v>51.77</v>
          </cell>
          <cell r="G96">
            <v>0</v>
          </cell>
          <cell r="H96">
            <v>0</v>
          </cell>
          <cell r="I96">
            <v>0</v>
          </cell>
          <cell r="J96">
            <v>8.85</v>
          </cell>
          <cell r="K96">
            <v>-8.85</v>
          </cell>
          <cell r="L96">
            <v>0</v>
          </cell>
          <cell r="M96">
            <v>0</v>
          </cell>
          <cell r="N96">
            <v>50</v>
          </cell>
          <cell r="O96">
            <v>49.2</v>
          </cell>
          <cell r="P96">
            <v>51.77</v>
          </cell>
          <cell r="Q96">
            <v>60.62</v>
          </cell>
          <cell r="R96">
            <v>51.77</v>
          </cell>
          <cell r="S96">
            <v>-8.85</v>
          </cell>
          <cell r="T96">
            <v>-2.57</v>
          </cell>
          <cell r="U96">
            <v>-1.77</v>
          </cell>
          <cell r="V96">
            <v>0</v>
          </cell>
          <cell r="W96">
            <v>0</v>
          </cell>
          <cell r="X96">
            <v>0</v>
          </cell>
          <cell r="Y96">
            <v>50</v>
          </cell>
          <cell r="Z96">
            <v>0</v>
          </cell>
          <cell r="AA96">
            <v>-1.77</v>
          </cell>
          <cell r="AB96">
            <v>0</v>
          </cell>
          <cell r="AC96">
            <v>0</v>
          </cell>
          <cell r="AD96">
            <v>8.85</v>
          </cell>
          <cell r="AF96">
            <v>-2.57</v>
          </cell>
        </row>
        <row r="97">
          <cell r="A97" t="str">
            <v>PZLN</v>
          </cell>
          <cell r="B97" t="str">
            <v>N</v>
          </cell>
          <cell r="C97" t="str">
            <v>PZL</v>
          </cell>
          <cell r="D97" t="str">
            <v>PZL</v>
          </cell>
          <cell r="F97">
            <v>1456.72</v>
          </cell>
          <cell r="G97">
            <v>0</v>
          </cell>
          <cell r="H97">
            <v>0</v>
          </cell>
          <cell r="I97">
            <v>1064.3599999999999</v>
          </cell>
          <cell r="J97">
            <v>174.67</v>
          </cell>
          <cell r="K97">
            <v>-174.67</v>
          </cell>
          <cell r="L97">
            <v>-1064.3599999999999</v>
          </cell>
          <cell r="M97">
            <v>-1064.3599999999999</v>
          </cell>
          <cell r="N97">
            <v>2460</v>
          </cell>
          <cell r="O97">
            <v>2607.9080000000004</v>
          </cell>
          <cell r="P97">
            <v>2521.08</v>
          </cell>
          <cell r="Q97">
            <v>1631.39</v>
          </cell>
          <cell r="R97">
            <v>1456.72</v>
          </cell>
          <cell r="S97">
            <v>-174.67</v>
          </cell>
          <cell r="T97">
            <v>86.828000000000003</v>
          </cell>
          <cell r="U97">
            <v>-61.079999999999927</v>
          </cell>
          <cell r="V97">
            <v>0</v>
          </cell>
          <cell r="W97">
            <v>0</v>
          </cell>
          <cell r="X97">
            <v>0</v>
          </cell>
          <cell r="Y97">
            <v>2460</v>
          </cell>
          <cell r="Z97">
            <v>0</v>
          </cell>
          <cell r="AA97">
            <v>-61.079999999999927</v>
          </cell>
          <cell r="AB97">
            <v>0</v>
          </cell>
          <cell r="AC97">
            <v>0</v>
          </cell>
          <cell r="AD97">
            <v>174.67</v>
          </cell>
          <cell r="AF97">
            <v>86.828000000000003</v>
          </cell>
        </row>
        <row r="98">
          <cell r="A98" t="str">
            <v>RAFN</v>
          </cell>
          <cell r="B98" t="str">
            <v>N</v>
          </cell>
          <cell r="C98" t="str">
            <v>RAF</v>
          </cell>
          <cell r="D98" t="str">
            <v>RAFALE</v>
          </cell>
          <cell r="E98">
            <v>60</v>
          </cell>
          <cell r="F98">
            <v>6196.15</v>
          </cell>
          <cell r="G98">
            <v>0</v>
          </cell>
          <cell r="H98">
            <v>1471.9</v>
          </cell>
          <cell r="I98">
            <v>1587.49</v>
          </cell>
          <cell r="J98">
            <v>189.45</v>
          </cell>
          <cell r="K98">
            <v>-189.45</v>
          </cell>
          <cell r="L98">
            <v>-115.59</v>
          </cell>
          <cell r="M98">
            <v>-1587.49</v>
          </cell>
          <cell r="N98">
            <v>6478</v>
          </cell>
          <cell r="O98">
            <v>6572.7059832000004</v>
          </cell>
          <cell r="P98">
            <v>7941.72</v>
          </cell>
          <cell r="Q98">
            <v>6385.6</v>
          </cell>
          <cell r="R98">
            <v>6196.15</v>
          </cell>
          <cell r="S98">
            <v>-189.45</v>
          </cell>
          <cell r="T98">
            <v>-1369.0140167999994</v>
          </cell>
          <cell r="U98">
            <v>-1463.72</v>
          </cell>
          <cell r="V98">
            <v>158.08000000000001</v>
          </cell>
          <cell r="W98">
            <v>0</v>
          </cell>
          <cell r="X98">
            <v>0</v>
          </cell>
          <cell r="Y98">
            <v>4423</v>
          </cell>
          <cell r="Z98">
            <v>0</v>
          </cell>
          <cell r="AA98">
            <v>-3518.72</v>
          </cell>
          <cell r="AB98">
            <v>0</v>
          </cell>
          <cell r="AC98">
            <v>0</v>
          </cell>
          <cell r="AD98">
            <v>189.45</v>
          </cell>
          <cell r="AE98">
            <v>60</v>
          </cell>
          <cell r="AF98">
            <v>-1369.0140167999994</v>
          </cell>
        </row>
        <row r="99">
          <cell r="A99" t="str">
            <v>RENN</v>
          </cell>
          <cell r="B99" t="str">
            <v>N</v>
          </cell>
          <cell r="C99" t="str">
            <v>REN</v>
          </cell>
          <cell r="D99" t="str">
            <v>RENOV AIRBUS</v>
          </cell>
          <cell r="E99">
            <v>5063</v>
          </cell>
          <cell r="F99">
            <v>38822.25</v>
          </cell>
          <cell r="G99">
            <v>0</v>
          </cell>
          <cell r="H99">
            <v>1545.77</v>
          </cell>
          <cell r="I99">
            <v>4986.37</v>
          </cell>
          <cell r="J99">
            <v>2213.12</v>
          </cell>
          <cell r="K99">
            <v>-1989.39</v>
          </cell>
          <cell r="L99">
            <v>-3440.6</v>
          </cell>
          <cell r="M99">
            <v>-4986.37</v>
          </cell>
          <cell r="N99">
            <v>28619</v>
          </cell>
          <cell r="O99">
            <v>32413.027956000002</v>
          </cell>
          <cell r="P99">
            <v>43777.574999999997</v>
          </cell>
          <cell r="Q99">
            <v>41035.370000000003</v>
          </cell>
          <cell r="R99">
            <v>39312.35</v>
          </cell>
          <cell r="S99">
            <v>-1989.39</v>
          </cell>
          <cell r="T99">
            <v>-11364.547043999997</v>
          </cell>
          <cell r="U99">
            <v>-15158.574999999997</v>
          </cell>
          <cell r="V99">
            <v>0</v>
          </cell>
          <cell r="W99">
            <v>0</v>
          </cell>
          <cell r="X99">
            <v>0</v>
          </cell>
          <cell r="Y99">
            <v>23925</v>
          </cell>
          <cell r="Z99">
            <v>3920</v>
          </cell>
          <cell r="AA99">
            <v>-19852.574999999997</v>
          </cell>
          <cell r="AB99">
            <v>500.42</v>
          </cell>
          <cell r="AC99">
            <v>0</v>
          </cell>
          <cell r="AD99">
            <v>1723.02</v>
          </cell>
          <cell r="AE99">
            <v>-589.28499999999997</v>
          </cell>
          <cell r="AF99">
            <v>-10700.742043999997</v>
          </cell>
        </row>
        <row r="100">
          <cell r="A100" t="str">
            <v>RJXN</v>
          </cell>
          <cell r="B100" t="str">
            <v>N</v>
          </cell>
          <cell r="C100" t="str">
            <v>RJX</v>
          </cell>
          <cell r="D100" t="str">
            <v>RJ700</v>
          </cell>
          <cell r="E100">
            <v>1934</v>
          </cell>
          <cell r="F100">
            <v>24296.98</v>
          </cell>
          <cell r="G100">
            <v>0</v>
          </cell>
          <cell r="H100">
            <v>4534.4199991800006</v>
          </cell>
          <cell r="I100">
            <v>7233.9241000000002</v>
          </cell>
          <cell r="J100">
            <v>2861.94</v>
          </cell>
          <cell r="K100">
            <v>-2773.64</v>
          </cell>
          <cell r="L100">
            <v>-2699.5041008199996</v>
          </cell>
          <cell r="M100">
            <v>-7233.9241000000002</v>
          </cell>
          <cell r="N100">
            <v>24789</v>
          </cell>
          <cell r="O100">
            <v>30629.341300062926</v>
          </cell>
          <cell r="P100">
            <v>31541.118500000004</v>
          </cell>
          <cell r="Q100">
            <v>27158.92</v>
          </cell>
          <cell r="R100">
            <v>24296.98</v>
          </cell>
          <cell r="S100">
            <v>-2773.64</v>
          </cell>
          <cell r="T100">
            <v>-911.77719993708013</v>
          </cell>
          <cell r="U100">
            <v>-6752.1185000000041</v>
          </cell>
          <cell r="V100">
            <v>10.214400000000001</v>
          </cell>
          <cell r="W100">
            <v>0</v>
          </cell>
          <cell r="X100">
            <v>0</v>
          </cell>
          <cell r="Y100">
            <v>23443</v>
          </cell>
          <cell r="Z100">
            <v>0</v>
          </cell>
          <cell r="AA100">
            <v>-8098.1185000000041</v>
          </cell>
          <cell r="AB100">
            <v>0</v>
          </cell>
          <cell r="AC100">
            <v>0</v>
          </cell>
          <cell r="AD100">
            <v>2861.94</v>
          </cell>
          <cell r="AE100">
            <v>38.256499999999875</v>
          </cell>
          <cell r="AF100">
            <v>-945.03369993708009</v>
          </cell>
        </row>
        <row r="101">
          <cell r="A101" t="str">
            <v>TIGN</v>
          </cell>
          <cell r="B101" t="str">
            <v>N</v>
          </cell>
          <cell r="C101" t="str">
            <v>TIG</v>
          </cell>
          <cell r="D101" t="str">
            <v>TIGRE</v>
          </cell>
          <cell r="E101">
            <v>200</v>
          </cell>
          <cell r="F101">
            <v>3182.07</v>
          </cell>
          <cell r="G101">
            <v>0</v>
          </cell>
          <cell r="H101">
            <v>18384.163</v>
          </cell>
          <cell r="I101">
            <v>22369.356000000003</v>
          </cell>
          <cell r="J101">
            <v>2462.58</v>
          </cell>
          <cell r="K101">
            <v>-2462.58</v>
          </cell>
          <cell r="L101">
            <v>-3985.1929999999998</v>
          </cell>
          <cell r="M101">
            <v>-22369.356000000003</v>
          </cell>
          <cell r="N101">
            <v>11372</v>
          </cell>
          <cell r="O101">
            <v>24966.492000000002</v>
          </cell>
          <cell r="P101">
            <v>25551.425999999999</v>
          </cell>
          <cell r="Q101">
            <v>5644.65</v>
          </cell>
          <cell r="R101">
            <v>3182.07</v>
          </cell>
          <cell r="S101">
            <v>-2462.58</v>
          </cell>
          <cell r="T101">
            <v>-584.93399999999951</v>
          </cell>
          <cell r="U101">
            <v>-14179.425999999999</v>
          </cell>
          <cell r="V101">
            <v>0</v>
          </cell>
          <cell r="W101">
            <v>0</v>
          </cell>
          <cell r="X101">
            <v>0</v>
          </cell>
          <cell r="Y101">
            <v>1430</v>
          </cell>
          <cell r="Z101">
            <v>300</v>
          </cell>
          <cell r="AA101">
            <v>-24121.425999999999</v>
          </cell>
          <cell r="AB101">
            <v>0</v>
          </cell>
          <cell r="AC101">
            <v>0</v>
          </cell>
          <cell r="AD101">
            <v>2462.58</v>
          </cell>
          <cell r="AE101">
            <v>200</v>
          </cell>
          <cell r="AF101">
            <v>-584.93399999999951</v>
          </cell>
        </row>
        <row r="102">
          <cell r="A102" t="str">
            <v>TOTN</v>
          </cell>
          <cell r="B102" t="str">
            <v>N</v>
          </cell>
          <cell r="C102" t="str">
            <v>TOT</v>
          </cell>
          <cell r="D102" t="str">
            <v>TOTEM 3000</v>
          </cell>
          <cell r="F102">
            <v>2064.12</v>
          </cell>
          <cell r="G102">
            <v>0</v>
          </cell>
          <cell r="H102">
            <v>0</v>
          </cell>
          <cell r="I102">
            <v>862.53</v>
          </cell>
          <cell r="J102">
            <v>564.91999999999996</v>
          </cell>
          <cell r="K102">
            <v>-564.91999999999996</v>
          </cell>
          <cell r="L102">
            <v>-862.53</v>
          </cell>
          <cell r="M102">
            <v>-862.53</v>
          </cell>
          <cell r="N102">
            <v>1276</v>
          </cell>
          <cell r="O102">
            <v>1444.9414000000002</v>
          </cell>
          <cell r="P102">
            <v>2926.65</v>
          </cell>
          <cell r="Q102">
            <v>2629.04</v>
          </cell>
          <cell r="R102">
            <v>2064.12</v>
          </cell>
          <cell r="S102">
            <v>-564.91999999999996</v>
          </cell>
          <cell r="T102">
            <v>-1481.7085999999999</v>
          </cell>
          <cell r="U102">
            <v>-1650.65</v>
          </cell>
          <cell r="V102">
            <v>0</v>
          </cell>
          <cell r="W102">
            <v>0</v>
          </cell>
          <cell r="X102">
            <v>0</v>
          </cell>
          <cell r="Y102">
            <v>1276</v>
          </cell>
          <cell r="Z102">
            <v>0</v>
          </cell>
          <cell r="AA102">
            <v>-1650.65</v>
          </cell>
          <cell r="AB102">
            <v>0</v>
          </cell>
          <cell r="AC102">
            <v>0</v>
          </cell>
          <cell r="AD102">
            <v>564.91999999999996</v>
          </cell>
          <cell r="AF102">
            <v>-1481.7085999999999</v>
          </cell>
        </row>
        <row r="103">
          <cell r="A103" t="str">
            <v>310P</v>
          </cell>
          <cell r="B103" t="str">
            <v>P</v>
          </cell>
          <cell r="C103" t="str">
            <v>310</v>
          </cell>
          <cell r="D103" t="str">
            <v>A310</v>
          </cell>
          <cell r="E103">
            <v>3145</v>
          </cell>
          <cell r="F103">
            <v>0</v>
          </cell>
          <cell r="G103">
            <v>0</v>
          </cell>
          <cell r="H103">
            <v>4203.719720000001</v>
          </cell>
          <cell r="I103">
            <v>4642.6597199999997</v>
          </cell>
          <cell r="J103">
            <v>0</v>
          </cell>
          <cell r="K103">
            <v>0</v>
          </cell>
          <cell r="L103">
            <v>-438.94</v>
          </cell>
          <cell r="M103">
            <v>-4642.6597199999997</v>
          </cell>
          <cell r="N103">
            <v>9700</v>
          </cell>
          <cell r="O103">
            <v>9672.0567200000005</v>
          </cell>
          <cell r="P103">
            <v>9499.2577199999996</v>
          </cell>
          <cell r="Q103">
            <v>0</v>
          </cell>
          <cell r="R103">
            <v>0</v>
          </cell>
          <cell r="S103">
            <v>0</v>
          </cell>
          <cell r="T103">
            <v>172.79899999999998</v>
          </cell>
          <cell r="U103">
            <v>200.74228000000039</v>
          </cell>
          <cell r="V103">
            <v>3009.99</v>
          </cell>
          <cell r="W103">
            <v>1846.6080000000002</v>
          </cell>
          <cell r="X103">
            <v>0</v>
          </cell>
          <cell r="Y103">
            <v>0</v>
          </cell>
          <cell r="Z103">
            <v>0</v>
          </cell>
          <cell r="AA103">
            <v>-9499.2577199999996</v>
          </cell>
          <cell r="AB103">
            <v>0</v>
          </cell>
          <cell r="AC103">
            <v>0</v>
          </cell>
          <cell r="AD103">
            <v>0</v>
          </cell>
          <cell r="AE103">
            <v>1831.3002799999999</v>
          </cell>
          <cell r="AF103">
            <v>172.79899999999998</v>
          </cell>
        </row>
        <row r="104">
          <cell r="A104" t="str">
            <v>320P</v>
          </cell>
          <cell r="B104" t="str">
            <v>P</v>
          </cell>
          <cell r="C104" t="str">
            <v>320</v>
          </cell>
          <cell r="D104" t="str">
            <v>A320</v>
          </cell>
          <cell r="E104">
            <v>1400</v>
          </cell>
          <cell r="F104">
            <v>0</v>
          </cell>
          <cell r="G104">
            <v>0</v>
          </cell>
          <cell r="H104">
            <v>6930.6880000000001</v>
          </cell>
          <cell r="I104">
            <v>6930.6880000000001</v>
          </cell>
          <cell r="J104">
            <v>0</v>
          </cell>
          <cell r="K104">
            <v>0</v>
          </cell>
          <cell r="L104">
            <v>0</v>
          </cell>
          <cell r="M104">
            <v>-6930.6880000000001</v>
          </cell>
          <cell r="N104">
            <v>14700</v>
          </cell>
          <cell r="O104">
            <v>16063.063000000002</v>
          </cell>
          <cell r="P104">
            <v>16063.063000000002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-1363.0630000000019</v>
          </cell>
          <cell r="V104">
            <v>5484.7470000000012</v>
          </cell>
          <cell r="W104">
            <v>3647.6279999999997</v>
          </cell>
          <cell r="X104">
            <v>0</v>
          </cell>
          <cell r="Y104">
            <v>0</v>
          </cell>
          <cell r="Z104">
            <v>0</v>
          </cell>
          <cell r="AA104">
            <v>-16063.063000000002</v>
          </cell>
          <cell r="AB104">
            <v>0</v>
          </cell>
          <cell r="AC104">
            <v>0</v>
          </cell>
          <cell r="AD104">
            <v>0</v>
          </cell>
          <cell r="AE104">
            <v>-3984.6130000000007</v>
          </cell>
          <cell r="AF104">
            <v>0</v>
          </cell>
        </row>
        <row r="105">
          <cell r="A105" t="str">
            <v>340P</v>
          </cell>
          <cell r="B105" t="str">
            <v>P</v>
          </cell>
          <cell r="C105" t="str">
            <v>340</v>
          </cell>
          <cell r="D105" t="str">
            <v>A340</v>
          </cell>
          <cell r="E105">
            <v>2830</v>
          </cell>
          <cell r="F105">
            <v>0</v>
          </cell>
          <cell r="G105">
            <v>0</v>
          </cell>
          <cell r="H105">
            <v>6891.390069</v>
          </cell>
          <cell r="I105">
            <v>6891.390069</v>
          </cell>
          <cell r="J105">
            <v>77.19</v>
          </cell>
          <cell r="K105">
            <v>-60.24</v>
          </cell>
          <cell r="L105">
            <v>0</v>
          </cell>
          <cell r="M105">
            <v>-6891.390069</v>
          </cell>
          <cell r="N105">
            <v>28659</v>
          </cell>
          <cell r="O105">
            <v>18148.909249799999</v>
          </cell>
          <cell r="P105">
            <v>18148.909249799999</v>
          </cell>
          <cell r="Q105">
            <v>77.19</v>
          </cell>
          <cell r="R105">
            <v>0</v>
          </cell>
          <cell r="S105">
            <v>-60.24</v>
          </cell>
          <cell r="T105">
            <v>0</v>
          </cell>
          <cell r="U105">
            <v>10510.090750200001</v>
          </cell>
          <cell r="V105">
            <v>5450.4671808000003</v>
          </cell>
          <cell r="W105">
            <v>5807.0520000000006</v>
          </cell>
          <cell r="X105">
            <v>0</v>
          </cell>
          <cell r="Y105">
            <v>0</v>
          </cell>
          <cell r="Z105">
            <v>0</v>
          </cell>
          <cell r="AA105">
            <v>-18148.909249799999</v>
          </cell>
          <cell r="AB105">
            <v>0</v>
          </cell>
          <cell r="AC105">
            <v>0</v>
          </cell>
          <cell r="AD105">
            <v>77.19</v>
          </cell>
          <cell r="AE105">
            <v>99.368000000000052</v>
          </cell>
          <cell r="AF105">
            <v>0</v>
          </cell>
        </row>
        <row r="106">
          <cell r="A106" t="str">
            <v>A3XP</v>
          </cell>
          <cell r="B106" t="str">
            <v>P</v>
          </cell>
          <cell r="C106" t="str">
            <v>A3X</v>
          </cell>
          <cell r="D106" t="str">
            <v>A3XX</v>
          </cell>
          <cell r="F106">
            <v>0</v>
          </cell>
          <cell r="G106">
            <v>0</v>
          </cell>
          <cell r="H106">
            <v>0.45100000000000001</v>
          </cell>
          <cell r="I106">
            <v>0.45100000000000001</v>
          </cell>
          <cell r="J106">
            <v>0</v>
          </cell>
          <cell r="K106">
            <v>0</v>
          </cell>
          <cell r="L106">
            <v>0</v>
          </cell>
          <cell r="M106">
            <v>-0.45100000000000001</v>
          </cell>
          <cell r="N106">
            <v>53000</v>
          </cell>
          <cell r="O106">
            <v>39577.0308</v>
          </cell>
          <cell r="P106">
            <v>39577.0308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13422.9692</v>
          </cell>
          <cell r="V106">
            <v>22569.000300000003</v>
          </cell>
          <cell r="W106">
            <v>17007.5795</v>
          </cell>
          <cell r="X106">
            <v>0</v>
          </cell>
          <cell r="Y106">
            <v>0</v>
          </cell>
          <cell r="Z106">
            <v>0</v>
          </cell>
          <cell r="AA106">
            <v>-39577.0308</v>
          </cell>
          <cell r="AB106">
            <v>0</v>
          </cell>
          <cell r="AC106">
            <v>0</v>
          </cell>
          <cell r="AD106">
            <v>0</v>
          </cell>
          <cell r="AF106">
            <v>0</v>
          </cell>
        </row>
        <row r="107">
          <cell r="A107" t="str">
            <v>AAEP</v>
          </cell>
          <cell r="B107" t="str">
            <v>P</v>
          </cell>
          <cell r="C107" t="str">
            <v>AAE</v>
          </cell>
          <cell r="D107" t="str">
            <v>RAO AAE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400</v>
          </cell>
          <cell r="O107">
            <v>407.916</v>
          </cell>
          <cell r="P107">
            <v>407.916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-7.9159999999999968</v>
          </cell>
          <cell r="V107">
            <v>202.488</v>
          </cell>
          <cell r="W107">
            <v>205.428</v>
          </cell>
          <cell r="X107">
            <v>0</v>
          </cell>
          <cell r="Y107">
            <v>0</v>
          </cell>
          <cell r="Z107">
            <v>0</v>
          </cell>
          <cell r="AA107">
            <v>-407.916</v>
          </cell>
          <cell r="AB107">
            <v>0</v>
          </cell>
          <cell r="AC107">
            <v>0</v>
          </cell>
          <cell r="AD107">
            <v>0</v>
          </cell>
          <cell r="AF107">
            <v>0</v>
          </cell>
        </row>
        <row r="108">
          <cell r="A108" t="str">
            <v>ACQP</v>
          </cell>
          <cell r="B108" t="str">
            <v>P</v>
          </cell>
          <cell r="C108" t="str">
            <v>ACQ</v>
          </cell>
          <cell r="D108" t="str">
            <v>ACQUISITIONS</v>
          </cell>
          <cell r="E108">
            <v>500</v>
          </cell>
          <cell r="F108">
            <v>0</v>
          </cell>
          <cell r="G108">
            <v>0</v>
          </cell>
          <cell r="H108">
            <v>1592.8583460000002</v>
          </cell>
          <cell r="I108">
            <v>1592.8583460000002</v>
          </cell>
          <cell r="J108">
            <v>0</v>
          </cell>
          <cell r="K108">
            <v>0</v>
          </cell>
          <cell r="L108">
            <v>0</v>
          </cell>
          <cell r="M108">
            <v>-1592.8583460000002</v>
          </cell>
          <cell r="N108">
            <v>1175</v>
          </cell>
          <cell r="O108">
            <v>2723.620895</v>
          </cell>
          <cell r="P108">
            <v>2723.620895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-1548.620895</v>
          </cell>
          <cell r="V108">
            <v>956.62614800000017</v>
          </cell>
          <cell r="W108">
            <v>174.13640100000001</v>
          </cell>
          <cell r="X108">
            <v>0</v>
          </cell>
          <cell r="Y108">
            <v>0</v>
          </cell>
          <cell r="Z108">
            <v>0</v>
          </cell>
          <cell r="AA108">
            <v>-2723.620895</v>
          </cell>
          <cell r="AB108">
            <v>0</v>
          </cell>
          <cell r="AC108">
            <v>0</v>
          </cell>
          <cell r="AD108">
            <v>0</v>
          </cell>
          <cell r="AE108">
            <v>16.811399999999992</v>
          </cell>
          <cell r="AF108">
            <v>0</v>
          </cell>
        </row>
        <row r="109">
          <cell r="A109" t="str">
            <v>APNP</v>
          </cell>
          <cell r="B109" t="str">
            <v>P</v>
          </cell>
          <cell r="C109" t="str">
            <v>APN</v>
          </cell>
          <cell r="D109" t="str">
            <v>RAO APN</v>
          </cell>
          <cell r="F109">
            <v>0</v>
          </cell>
          <cell r="G109">
            <v>0</v>
          </cell>
          <cell r="H109">
            <v>1310.49926</v>
          </cell>
          <cell r="I109">
            <v>1310.49926</v>
          </cell>
          <cell r="J109">
            <v>28.37</v>
          </cell>
          <cell r="K109">
            <v>-28.37</v>
          </cell>
          <cell r="L109">
            <v>0</v>
          </cell>
          <cell r="M109">
            <v>-1310.49926</v>
          </cell>
          <cell r="N109">
            <v>3500</v>
          </cell>
          <cell r="O109">
            <v>3989.7152600000004</v>
          </cell>
          <cell r="P109">
            <v>3989.7152600000004</v>
          </cell>
          <cell r="Q109">
            <v>28.37</v>
          </cell>
          <cell r="R109">
            <v>0</v>
          </cell>
          <cell r="S109">
            <v>-28.37</v>
          </cell>
          <cell r="T109">
            <v>0</v>
          </cell>
          <cell r="U109">
            <v>-489.7152600000004</v>
          </cell>
          <cell r="V109">
            <v>1329.9520000000002</v>
          </cell>
          <cell r="W109">
            <v>1349.2639999999999</v>
          </cell>
          <cell r="X109">
            <v>0</v>
          </cell>
          <cell r="Y109">
            <v>0</v>
          </cell>
          <cell r="Z109">
            <v>0</v>
          </cell>
          <cell r="AA109">
            <v>-3989.7152600000004</v>
          </cell>
          <cell r="AB109">
            <v>0</v>
          </cell>
          <cell r="AC109">
            <v>0</v>
          </cell>
          <cell r="AD109">
            <v>28.37</v>
          </cell>
          <cell r="AF109">
            <v>0</v>
          </cell>
        </row>
        <row r="110">
          <cell r="A110" t="str">
            <v>ARAP</v>
          </cell>
          <cell r="B110" t="str">
            <v>P</v>
          </cell>
          <cell r="C110" t="str">
            <v>ARA</v>
          </cell>
          <cell r="D110" t="str">
            <v>RAO ARA</v>
          </cell>
          <cell r="F110">
            <v>0</v>
          </cell>
          <cell r="G110">
            <v>0</v>
          </cell>
          <cell r="H110">
            <v>289.06</v>
          </cell>
          <cell r="I110">
            <v>289.06</v>
          </cell>
          <cell r="J110">
            <v>0</v>
          </cell>
          <cell r="K110">
            <v>0</v>
          </cell>
          <cell r="L110">
            <v>0</v>
          </cell>
          <cell r="M110">
            <v>-289.06</v>
          </cell>
          <cell r="N110">
            <v>880</v>
          </cell>
          <cell r="O110">
            <v>880.21160000000009</v>
          </cell>
          <cell r="P110">
            <v>879.96080000000006</v>
          </cell>
          <cell r="Q110">
            <v>0</v>
          </cell>
          <cell r="R110">
            <v>0</v>
          </cell>
          <cell r="S110">
            <v>0</v>
          </cell>
          <cell r="T110">
            <v>0.25080000000002656</v>
          </cell>
          <cell r="U110">
            <v>3.9199999999937063E-2</v>
          </cell>
          <cell r="V110">
            <v>293.06020000000001</v>
          </cell>
          <cell r="W110">
            <v>297.84059999999999</v>
          </cell>
          <cell r="X110">
            <v>0</v>
          </cell>
          <cell r="Y110">
            <v>0</v>
          </cell>
          <cell r="Z110">
            <v>0</v>
          </cell>
          <cell r="AA110">
            <v>-879.96080000000006</v>
          </cell>
          <cell r="AB110">
            <v>0</v>
          </cell>
          <cell r="AC110">
            <v>0</v>
          </cell>
          <cell r="AD110">
            <v>0</v>
          </cell>
          <cell r="AF110">
            <v>0.25080000000002656</v>
          </cell>
        </row>
      </sheetData>
      <sheetData sheetId="1" refreshError="1">
        <row r="62">
          <cell r="P62">
            <v>134259.5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BDD"/>
      <sheetName val="AffairesSynthèses_CAL"/>
      <sheetName val="AffairesSynthèses_DFG"/>
      <sheetName val="OESynthèses"/>
      <sheetName val="OEimmo"/>
      <sheetName val="Entité_Responsable"/>
      <sheetName val="corrections"/>
      <sheetName val="ListeDesDates"/>
      <sheetName val="                              "/>
      <sheetName val="                             "/>
      <sheetName val="PérimètreAnnée"/>
      <sheetName val="BDDpérimètre"/>
      <sheetName val="Synthèse"/>
      <sheetName val="Secteur_Responsable"/>
      <sheetName val="AffairesManquantes"/>
      <sheetName val="Référence"/>
      <sheetName val="variables de trav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Your document"/>
      <sheetName val="Log of changes and approval"/>
      <sheetName val="Help"/>
      <sheetName val="Design Notes"/>
      <sheetName val="Parameters"/>
    </sheetNames>
    <sheetDataSet>
      <sheetData sheetId="0"/>
      <sheetData sheetId="1"/>
      <sheetData sheetId="2"/>
      <sheetData sheetId="3" refreshError="1">
        <row r="59">
          <cell r="C59" t="str">
            <v>ALL</v>
          </cell>
        </row>
        <row r="60">
          <cell r="C60" t="str">
            <v>Gestion de projet: A0</v>
          </cell>
        </row>
        <row r="61">
          <cell r="C61" t="str">
            <v>Gestion de projet: A1</v>
          </cell>
        </row>
        <row r="62">
          <cell r="C62" t="str">
            <v>Gestion de projet: A2</v>
          </cell>
        </row>
        <row r="63">
          <cell r="C63" t="str">
            <v>Ingénierie: S0</v>
          </cell>
          <cell r="E63" t="str">
            <v>ALL</v>
          </cell>
        </row>
        <row r="64">
          <cell r="C64" t="str">
            <v>Ingénierie: S1</v>
          </cell>
          <cell r="E64" t="str">
            <v>Hardware</v>
          </cell>
        </row>
        <row r="65">
          <cell r="C65" t="str">
            <v>Ingénierie: S2</v>
          </cell>
          <cell r="E65" t="str">
            <v>Software</v>
          </cell>
        </row>
        <row r="66">
          <cell r="C66" t="str">
            <v>Acquisition: P0</v>
          </cell>
          <cell r="E66" t="str">
            <v>System</v>
          </cell>
        </row>
        <row r="67">
          <cell r="C67" t="str">
            <v>Acquisition: P1</v>
          </cell>
          <cell r="E67" t="str">
            <v>Processing</v>
          </cell>
        </row>
        <row r="68">
          <cell r="C68" t="str">
            <v>Acquisition: P2</v>
          </cell>
        </row>
        <row r="69">
          <cell r="C69" t="str">
            <v>Offre: B0</v>
          </cell>
        </row>
        <row r="70">
          <cell r="C70" t="str">
            <v>Offre: B1</v>
          </cell>
        </row>
        <row r="71">
          <cell r="C71" t="str">
            <v>Offre: B2</v>
          </cell>
        </row>
        <row r="72">
          <cell r="C72" t="str">
            <v>Qualité: Q0</v>
          </cell>
        </row>
        <row r="73">
          <cell r="C73" t="str">
            <v>Qualité: Q1</v>
          </cell>
        </row>
        <row r="74">
          <cell r="C74" t="str">
            <v>Qualité: Q2</v>
          </cell>
        </row>
      </sheetData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ilure Rates"/>
      <sheetName val="EL2.x Logical Equations"/>
      <sheetName val="Settings"/>
    </sheetNames>
    <sheetDataSet>
      <sheetData sheetId="0"/>
      <sheetData sheetId="1">
        <row r="10">
          <cell r="C10">
            <v>7.7439999999999995E-2</v>
          </cell>
        </row>
        <row r="14">
          <cell r="C14">
            <v>5773</v>
          </cell>
        </row>
        <row r="15">
          <cell r="C15">
            <v>7993</v>
          </cell>
        </row>
        <row r="16">
          <cell r="C16">
            <v>0.92488974400000012</v>
          </cell>
        </row>
        <row r="17">
          <cell r="C17">
            <v>7603</v>
          </cell>
        </row>
        <row r="18">
          <cell r="C18">
            <v>1.5438612640000002</v>
          </cell>
        </row>
        <row r="19">
          <cell r="C19">
            <v>9823</v>
          </cell>
        </row>
        <row r="20">
          <cell r="C20">
            <v>1.0222087840000003</v>
          </cell>
        </row>
        <row r="21">
          <cell r="C21">
            <v>7993</v>
          </cell>
        </row>
        <row r="22">
          <cell r="C22">
            <v>7.7288444970414192</v>
          </cell>
        </row>
        <row r="24">
          <cell r="C24">
            <v>8530</v>
          </cell>
        </row>
        <row r="25">
          <cell r="C25">
            <v>10750</v>
          </cell>
        </row>
      </sheetData>
      <sheetData sheetId="2">
        <row r="1">
          <cell r="B1">
            <v>1.0000000000000001E-9</v>
          </cell>
        </row>
        <row r="3">
          <cell r="B3">
            <v>8</v>
          </cell>
        </row>
        <row r="4">
          <cell r="B4">
            <v>0.05</v>
          </cell>
        </row>
        <row r="6">
          <cell r="B6">
            <v>1.6666666666666666E-2</v>
          </cell>
        </row>
        <row r="8">
          <cell r="B8">
            <v>525600</v>
          </cell>
        </row>
        <row r="9">
          <cell r="B9">
            <v>31536000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EXTRAC Heures"/>
      <sheetName val="EXTRAC Capicités"/>
      <sheetName val="EXTRAC Cess."/>
      <sheetName val="R1"/>
      <sheetName val="R2"/>
      <sheetName val="Graphes CHA"/>
      <sheetName val="Graphes INDUST"/>
      <sheetName val="Charges-globales cha+NAV"/>
      <sheetName val="COMMENTAIRES"/>
      <sheetName val="ETP par an"/>
      <sheetName val="ETP par trim"/>
      <sheetName val="PROD_FAM"/>
      <sheetName val="Prod_SBU"/>
      <sheetName val="R7"/>
      <sheetName val="R7bis"/>
      <sheetName val="R7 ter"/>
      <sheetName val="R8"/>
      <sheetName val="productivité"/>
      <sheetName val="ACHAT"/>
      <sheetName val="R12"/>
    </sheetNames>
    <sheetDataSet>
      <sheetData sheetId="0" refreshError="1"/>
      <sheetData sheetId="1" refreshError="1">
        <row r="3">
          <cell r="D3" t="str">
            <v xml:space="preserve"> 2594 Char:   509 000 26/04/02 14:24  DET  Dpt=ACC Ress=033 Uges=HRS.............HEURES.....................</v>
          </cell>
          <cell r="F3">
            <v>525</v>
          </cell>
          <cell r="G3">
            <v>525</v>
          </cell>
          <cell r="H3">
            <v>525</v>
          </cell>
          <cell r="I3">
            <v>525</v>
          </cell>
          <cell r="J3">
            <v>525</v>
          </cell>
          <cell r="K3">
            <v>525</v>
          </cell>
          <cell r="L3">
            <v>525</v>
          </cell>
          <cell r="M3">
            <v>525</v>
          </cell>
          <cell r="N3">
            <v>525</v>
          </cell>
          <cell r="O3">
            <v>525</v>
          </cell>
          <cell r="P3">
            <v>525</v>
          </cell>
          <cell r="Q3">
            <v>525</v>
          </cell>
          <cell r="R3">
            <v>501</v>
          </cell>
          <cell r="S3">
            <v>501</v>
          </cell>
          <cell r="T3">
            <v>501</v>
          </cell>
          <cell r="U3">
            <v>501</v>
          </cell>
          <cell r="V3">
            <v>501</v>
          </cell>
          <cell r="W3">
            <v>501</v>
          </cell>
          <cell r="X3">
            <v>501</v>
          </cell>
          <cell r="Y3">
            <v>501</v>
          </cell>
          <cell r="Z3">
            <v>501</v>
          </cell>
          <cell r="AA3">
            <v>501</v>
          </cell>
          <cell r="AB3">
            <v>501</v>
          </cell>
          <cell r="AC3">
            <v>501</v>
          </cell>
        </row>
        <row r="4">
          <cell r="D4" t="str">
            <v xml:space="preserve"> 2595 Char:   509 000 26/04/02 14:24  DET  Dpt=ACC Ress=034 Uges=HRS.............HEURES.....................</v>
          </cell>
          <cell r="F4">
            <v>487</v>
          </cell>
          <cell r="G4">
            <v>487</v>
          </cell>
          <cell r="H4">
            <v>487</v>
          </cell>
          <cell r="I4">
            <v>487</v>
          </cell>
          <cell r="J4">
            <v>487</v>
          </cell>
          <cell r="K4">
            <v>487</v>
          </cell>
          <cell r="L4">
            <v>487</v>
          </cell>
          <cell r="M4">
            <v>487</v>
          </cell>
          <cell r="N4">
            <v>487</v>
          </cell>
          <cell r="O4">
            <v>487</v>
          </cell>
          <cell r="P4">
            <v>487</v>
          </cell>
          <cell r="Q4">
            <v>487</v>
          </cell>
          <cell r="R4">
            <v>480</v>
          </cell>
          <cell r="S4">
            <v>480</v>
          </cell>
          <cell r="T4">
            <v>480</v>
          </cell>
          <cell r="U4">
            <v>480</v>
          </cell>
          <cell r="V4">
            <v>480</v>
          </cell>
          <cell r="W4">
            <v>480</v>
          </cell>
          <cell r="X4">
            <v>480</v>
          </cell>
          <cell r="Y4">
            <v>480</v>
          </cell>
          <cell r="Z4">
            <v>480</v>
          </cell>
          <cell r="AA4">
            <v>480</v>
          </cell>
          <cell r="AB4">
            <v>480</v>
          </cell>
          <cell r="AC4">
            <v>480</v>
          </cell>
        </row>
        <row r="5">
          <cell r="D5" t="str">
            <v xml:space="preserve"> 2596 Char:   509 000 26/04/02 14:24  DET  Dpt=ACC Ress=035 Uges=HRS.............HEURES.....................</v>
          </cell>
          <cell r="F5">
            <v>606</v>
          </cell>
          <cell r="G5">
            <v>606</v>
          </cell>
          <cell r="H5">
            <v>606</v>
          </cell>
          <cell r="I5">
            <v>606</v>
          </cell>
          <cell r="J5">
            <v>606</v>
          </cell>
          <cell r="K5">
            <v>606</v>
          </cell>
          <cell r="L5">
            <v>606</v>
          </cell>
          <cell r="M5">
            <v>606</v>
          </cell>
          <cell r="N5">
            <v>606</v>
          </cell>
          <cell r="O5">
            <v>606</v>
          </cell>
          <cell r="P5">
            <v>606</v>
          </cell>
          <cell r="Q5">
            <v>606</v>
          </cell>
          <cell r="R5">
            <v>568</v>
          </cell>
          <cell r="S5">
            <v>568</v>
          </cell>
          <cell r="T5">
            <v>568</v>
          </cell>
          <cell r="U5">
            <v>568</v>
          </cell>
          <cell r="V5">
            <v>568</v>
          </cell>
          <cell r="W5">
            <v>568</v>
          </cell>
          <cell r="X5">
            <v>568</v>
          </cell>
          <cell r="Y5">
            <v>568</v>
          </cell>
          <cell r="Z5">
            <v>568</v>
          </cell>
          <cell r="AA5">
            <v>568</v>
          </cell>
          <cell r="AB5">
            <v>568</v>
          </cell>
          <cell r="AC5">
            <v>568</v>
          </cell>
        </row>
        <row r="6">
          <cell r="D6" t="str">
            <v xml:space="preserve"> 2597 Char:   509 000 26/04/02 14:24  DET  Dpt=ACC Ress=037 Uges=HRS.............HEURES.....................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D7" t="str">
            <v xml:space="preserve"> 2598 Char:   509 000 26/04/02 14:24  DET  Dpt=ACC Ress=039 Uges=HRS.............HEURES.....................</v>
          </cell>
          <cell r="F7">
            <v>295</v>
          </cell>
          <cell r="G7">
            <v>295</v>
          </cell>
          <cell r="H7">
            <v>295</v>
          </cell>
          <cell r="I7">
            <v>295</v>
          </cell>
          <cell r="J7">
            <v>295</v>
          </cell>
          <cell r="K7">
            <v>295</v>
          </cell>
          <cell r="L7">
            <v>295</v>
          </cell>
          <cell r="M7">
            <v>295</v>
          </cell>
          <cell r="N7">
            <v>295</v>
          </cell>
          <cell r="O7">
            <v>295</v>
          </cell>
          <cell r="P7">
            <v>295</v>
          </cell>
          <cell r="Q7">
            <v>295</v>
          </cell>
          <cell r="R7">
            <v>295</v>
          </cell>
          <cell r="S7">
            <v>295</v>
          </cell>
          <cell r="T7">
            <v>295</v>
          </cell>
          <cell r="U7">
            <v>295</v>
          </cell>
          <cell r="V7">
            <v>295</v>
          </cell>
          <cell r="W7">
            <v>295</v>
          </cell>
          <cell r="X7">
            <v>295</v>
          </cell>
          <cell r="Y7">
            <v>295</v>
          </cell>
          <cell r="Z7">
            <v>295</v>
          </cell>
          <cell r="AA7">
            <v>295</v>
          </cell>
          <cell r="AB7">
            <v>295</v>
          </cell>
          <cell r="AC7">
            <v>295</v>
          </cell>
        </row>
        <row r="8">
          <cell r="D8" t="str">
            <v xml:space="preserve"> 2599 Char:   509 000 26/04/02 14:24  DET  Dpt=ACC Ress=041 Uges=HRS.............HEURES.....................</v>
          </cell>
          <cell r="F8">
            <v>363</v>
          </cell>
          <cell r="G8">
            <v>363</v>
          </cell>
          <cell r="H8">
            <v>363</v>
          </cell>
          <cell r="I8">
            <v>363</v>
          </cell>
          <cell r="J8">
            <v>363</v>
          </cell>
          <cell r="K8">
            <v>363</v>
          </cell>
          <cell r="L8">
            <v>363</v>
          </cell>
          <cell r="M8">
            <v>363</v>
          </cell>
          <cell r="N8">
            <v>363</v>
          </cell>
          <cell r="O8">
            <v>363</v>
          </cell>
          <cell r="P8">
            <v>363</v>
          </cell>
          <cell r="Q8">
            <v>363</v>
          </cell>
          <cell r="R8">
            <v>339</v>
          </cell>
          <cell r="S8">
            <v>339</v>
          </cell>
          <cell r="T8">
            <v>339</v>
          </cell>
          <cell r="U8">
            <v>339</v>
          </cell>
          <cell r="V8">
            <v>339</v>
          </cell>
          <cell r="W8">
            <v>339</v>
          </cell>
          <cell r="X8">
            <v>339</v>
          </cell>
          <cell r="Y8">
            <v>339</v>
          </cell>
          <cell r="Z8">
            <v>339</v>
          </cell>
          <cell r="AA8">
            <v>339</v>
          </cell>
          <cell r="AB8">
            <v>339</v>
          </cell>
          <cell r="AC8">
            <v>339</v>
          </cell>
        </row>
        <row r="9">
          <cell r="D9" t="str">
            <v xml:space="preserve"> 2600 Char:   509 000 26/04/02 14:24  DET  Dpt=ACC Ress=042 Uges=HRS.............HEURES.....................</v>
          </cell>
          <cell r="F9">
            <v>342</v>
          </cell>
          <cell r="G9">
            <v>342</v>
          </cell>
          <cell r="H9">
            <v>342</v>
          </cell>
          <cell r="I9">
            <v>342</v>
          </cell>
          <cell r="J9">
            <v>342</v>
          </cell>
          <cell r="K9">
            <v>342</v>
          </cell>
          <cell r="L9">
            <v>342</v>
          </cell>
          <cell r="M9">
            <v>342</v>
          </cell>
          <cell r="N9">
            <v>342</v>
          </cell>
          <cell r="O9">
            <v>342</v>
          </cell>
          <cell r="P9">
            <v>342</v>
          </cell>
          <cell r="Q9">
            <v>342</v>
          </cell>
          <cell r="R9">
            <v>342</v>
          </cell>
          <cell r="S9">
            <v>342</v>
          </cell>
          <cell r="T9">
            <v>342</v>
          </cell>
          <cell r="U9">
            <v>342</v>
          </cell>
          <cell r="V9">
            <v>342</v>
          </cell>
          <cell r="W9">
            <v>342</v>
          </cell>
          <cell r="X9">
            <v>342</v>
          </cell>
          <cell r="Y9">
            <v>342</v>
          </cell>
          <cell r="Z9">
            <v>342</v>
          </cell>
          <cell r="AA9">
            <v>342</v>
          </cell>
          <cell r="AB9">
            <v>342</v>
          </cell>
          <cell r="AC9">
            <v>342</v>
          </cell>
        </row>
        <row r="10">
          <cell r="D10" t="str">
            <v xml:space="preserve"> 2601 Char:   509 000 26/04/02 14:24  DET  Dpt=ACC Ress=043 Uges=HRS.............HEURES.....................</v>
          </cell>
          <cell r="F10">
            <v>295</v>
          </cell>
          <cell r="G10">
            <v>295</v>
          </cell>
          <cell r="H10">
            <v>295</v>
          </cell>
          <cell r="I10">
            <v>295</v>
          </cell>
          <cell r="J10">
            <v>295</v>
          </cell>
          <cell r="K10">
            <v>295</v>
          </cell>
          <cell r="L10">
            <v>295</v>
          </cell>
          <cell r="M10">
            <v>295</v>
          </cell>
          <cell r="N10">
            <v>295</v>
          </cell>
          <cell r="O10">
            <v>295</v>
          </cell>
          <cell r="P10">
            <v>295</v>
          </cell>
          <cell r="Q10">
            <v>295</v>
          </cell>
          <cell r="R10">
            <v>295</v>
          </cell>
          <cell r="S10">
            <v>295</v>
          </cell>
          <cell r="T10">
            <v>295</v>
          </cell>
          <cell r="U10">
            <v>295</v>
          </cell>
          <cell r="V10">
            <v>295</v>
          </cell>
          <cell r="W10">
            <v>295</v>
          </cell>
          <cell r="X10">
            <v>295</v>
          </cell>
          <cell r="Y10">
            <v>295</v>
          </cell>
          <cell r="Z10">
            <v>295</v>
          </cell>
          <cell r="AA10">
            <v>295</v>
          </cell>
          <cell r="AB10">
            <v>295</v>
          </cell>
          <cell r="AC10">
            <v>295</v>
          </cell>
        </row>
        <row r="11">
          <cell r="D11" t="str">
            <v xml:space="preserve"> 2602 Char:   500 000 26/04/02 14:24  DET Cent=825 Uges=HRS FTH =HSM.............HEURES.....................</v>
          </cell>
          <cell r="F11">
            <v>618</v>
          </cell>
          <cell r="G11">
            <v>618</v>
          </cell>
          <cell r="H11">
            <v>618</v>
          </cell>
          <cell r="I11">
            <v>618</v>
          </cell>
          <cell r="J11">
            <v>618</v>
          </cell>
          <cell r="K11">
            <v>618</v>
          </cell>
          <cell r="L11">
            <v>618</v>
          </cell>
          <cell r="M11">
            <v>618</v>
          </cell>
          <cell r="N11">
            <v>618</v>
          </cell>
          <cell r="O11">
            <v>618</v>
          </cell>
          <cell r="P11">
            <v>618</v>
          </cell>
          <cell r="Q11">
            <v>618</v>
          </cell>
          <cell r="R11">
            <v>526</v>
          </cell>
          <cell r="S11">
            <v>526</v>
          </cell>
          <cell r="T11">
            <v>526</v>
          </cell>
          <cell r="U11">
            <v>526</v>
          </cell>
          <cell r="V11">
            <v>526</v>
          </cell>
          <cell r="W11">
            <v>526</v>
          </cell>
          <cell r="X11">
            <v>526</v>
          </cell>
          <cell r="Y11">
            <v>526</v>
          </cell>
          <cell r="Z11">
            <v>526</v>
          </cell>
          <cell r="AA11">
            <v>526</v>
          </cell>
          <cell r="AB11">
            <v>526</v>
          </cell>
          <cell r="AC11">
            <v>526</v>
          </cell>
        </row>
        <row r="12">
          <cell r="D12" t="str">
            <v xml:space="preserve"> 2603 Char:   500 000 26/04/02 14:24  DET Cent=825 Uges=HRS FTH =SUP.............HEURES.....................</v>
          </cell>
          <cell r="F12">
            <v>1363</v>
          </cell>
          <cell r="G12">
            <v>1363</v>
          </cell>
          <cell r="H12">
            <v>1363</v>
          </cell>
          <cell r="I12">
            <v>1363</v>
          </cell>
          <cell r="J12">
            <v>1363</v>
          </cell>
          <cell r="K12">
            <v>1363</v>
          </cell>
          <cell r="L12">
            <v>1363</v>
          </cell>
          <cell r="M12">
            <v>1363</v>
          </cell>
          <cell r="N12">
            <v>1363</v>
          </cell>
          <cell r="O12">
            <v>1363</v>
          </cell>
          <cell r="P12">
            <v>1363</v>
          </cell>
          <cell r="Q12">
            <v>1363</v>
          </cell>
          <cell r="R12">
            <v>1363</v>
          </cell>
          <cell r="S12">
            <v>1363</v>
          </cell>
          <cell r="T12">
            <v>1363</v>
          </cell>
          <cell r="U12">
            <v>1363</v>
          </cell>
          <cell r="V12">
            <v>1363</v>
          </cell>
          <cell r="W12">
            <v>1363</v>
          </cell>
          <cell r="X12">
            <v>1363</v>
          </cell>
          <cell r="Y12">
            <v>1363</v>
          </cell>
          <cell r="Z12">
            <v>1363</v>
          </cell>
          <cell r="AA12">
            <v>1363</v>
          </cell>
          <cell r="AB12">
            <v>1363</v>
          </cell>
          <cell r="AC12">
            <v>1363</v>
          </cell>
        </row>
        <row r="13">
          <cell r="D13" t="str">
            <v xml:space="preserve"> 2604 Char:   502 000 26/04/02 14:24  SYN Uges=HRS FTH =HSM......................HEURES............</v>
          </cell>
          <cell r="F13">
            <v>618</v>
          </cell>
          <cell r="G13">
            <v>618</v>
          </cell>
          <cell r="H13">
            <v>618</v>
          </cell>
          <cell r="I13">
            <v>618</v>
          </cell>
          <cell r="J13">
            <v>618</v>
          </cell>
          <cell r="K13">
            <v>618</v>
          </cell>
          <cell r="L13">
            <v>618</v>
          </cell>
          <cell r="M13">
            <v>618</v>
          </cell>
          <cell r="N13">
            <v>618</v>
          </cell>
          <cell r="O13">
            <v>618</v>
          </cell>
          <cell r="P13">
            <v>618</v>
          </cell>
          <cell r="Q13">
            <v>618</v>
          </cell>
          <cell r="R13">
            <v>526</v>
          </cell>
          <cell r="S13">
            <v>526</v>
          </cell>
          <cell r="T13">
            <v>526</v>
          </cell>
          <cell r="U13">
            <v>526</v>
          </cell>
          <cell r="V13">
            <v>526</v>
          </cell>
          <cell r="W13">
            <v>526</v>
          </cell>
          <cell r="X13">
            <v>526</v>
          </cell>
          <cell r="Y13">
            <v>526</v>
          </cell>
          <cell r="Z13">
            <v>526</v>
          </cell>
          <cell r="AA13">
            <v>526</v>
          </cell>
          <cell r="AB13">
            <v>526</v>
          </cell>
          <cell r="AC13">
            <v>526</v>
          </cell>
        </row>
        <row r="14">
          <cell r="D14" t="str">
            <v xml:space="preserve"> 2605 Char:   491 000 26/04/02 14:24  DET Cent=863 Uges=HRS FTH =ALI.............HEURES............         </v>
          </cell>
          <cell r="F14">
            <v>1384</v>
          </cell>
          <cell r="G14">
            <v>1829</v>
          </cell>
          <cell r="H14">
            <v>1849</v>
          </cell>
          <cell r="I14">
            <v>1931</v>
          </cell>
          <cell r="J14">
            <v>1046</v>
          </cell>
          <cell r="K14">
            <v>1992</v>
          </cell>
          <cell r="L14">
            <v>1875</v>
          </cell>
          <cell r="M14">
            <v>672</v>
          </cell>
          <cell r="N14">
            <v>2280</v>
          </cell>
          <cell r="O14">
            <v>2062</v>
          </cell>
          <cell r="P14">
            <v>620</v>
          </cell>
          <cell r="Q14">
            <v>1610</v>
          </cell>
          <cell r="R14">
            <v>2099</v>
          </cell>
          <cell r="S14">
            <v>1821</v>
          </cell>
          <cell r="T14">
            <v>2344</v>
          </cell>
          <cell r="U14">
            <v>2145</v>
          </cell>
          <cell r="V14">
            <v>1522</v>
          </cell>
          <cell r="W14">
            <v>2126</v>
          </cell>
          <cell r="X14">
            <v>1716</v>
          </cell>
          <cell r="Y14">
            <v>741</v>
          </cell>
          <cell r="Z14">
            <v>1908</v>
          </cell>
          <cell r="AA14">
            <v>2071</v>
          </cell>
          <cell r="AB14">
            <v>1326</v>
          </cell>
          <cell r="AC14">
            <v>651</v>
          </cell>
        </row>
        <row r="15">
          <cell r="D15" t="str">
            <v xml:space="preserve"> 2606 Char:   491 000 26/04/02 14:24  DET Cent=863 Uges=HRS FTH =ATR.............HEURES............         </v>
          </cell>
          <cell r="F15">
            <v>86</v>
          </cell>
          <cell r="G15">
            <v>302</v>
          </cell>
          <cell r="H15">
            <v>1081</v>
          </cell>
          <cell r="I15">
            <v>739</v>
          </cell>
          <cell r="J15">
            <v>333</v>
          </cell>
          <cell r="K15">
            <v>429</v>
          </cell>
          <cell r="L15">
            <v>406</v>
          </cell>
          <cell r="M15">
            <v>683</v>
          </cell>
          <cell r="N15">
            <v>608</v>
          </cell>
          <cell r="O15">
            <v>853</v>
          </cell>
          <cell r="P15">
            <v>1059</v>
          </cell>
          <cell r="Q15">
            <v>674</v>
          </cell>
          <cell r="R15">
            <v>686</v>
          </cell>
          <cell r="S15">
            <v>819</v>
          </cell>
          <cell r="T15">
            <v>890</v>
          </cell>
          <cell r="U15">
            <v>641</v>
          </cell>
          <cell r="V15">
            <v>910</v>
          </cell>
          <cell r="W15">
            <v>652</v>
          </cell>
          <cell r="X15">
            <v>736</v>
          </cell>
          <cell r="Y15">
            <v>810</v>
          </cell>
          <cell r="Z15">
            <v>1069</v>
          </cell>
          <cell r="AA15">
            <v>799</v>
          </cell>
          <cell r="AB15">
            <v>807</v>
          </cell>
          <cell r="AC15">
            <v>829</v>
          </cell>
        </row>
        <row r="16">
          <cell r="D16" t="str">
            <v xml:space="preserve"> 2607 Char:   491 000 26/04/02 14:24  DET Cent=863 Uges=HRS FTH =BOB.............HEURES............         </v>
          </cell>
          <cell r="F16">
            <v>234</v>
          </cell>
          <cell r="G16">
            <v>234</v>
          </cell>
          <cell r="H16">
            <v>234</v>
          </cell>
          <cell r="I16">
            <v>234</v>
          </cell>
          <cell r="J16">
            <v>234</v>
          </cell>
          <cell r="K16">
            <v>234</v>
          </cell>
          <cell r="L16">
            <v>234</v>
          </cell>
          <cell r="M16">
            <v>0</v>
          </cell>
          <cell r="N16">
            <v>234</v>
          </cell>
          <cell r="O16">
            <v>234</v>
          </cell>
          <cell r="P16">
            <v>234</v>
          </cell>
          <cell r="Q16">
            <v>234</v>
          </cell>
          <cell r="R16">
            <v>234</v>
          </cell>
          <cell r="S16">
            <v>234</v>
          </cell>
          <cell r="T16">
            <v>234</v>
          </cell>
          <cell r="U16">
            <v>234</v>
          </cell>
          <cell r="V16">
            <v>234</v>
          </cell>
          <cell r="W16">
            <v>234</v>
          </cell>
          <cell r="X16">
            <v>234</v>
          </cell>
          <cell r="Y16">
            <v>0</v>
          </cell>
          <cell r="Z16">
            <v>234</v>
          </cell>
          <cell r="AA16">
            <v>234</v>
          </cell>
          <cell r="AB16">
            <v>234</v>
          </cell>
          <cell r="AC16">
            <v>234</v>
          </cell>
        </row>
        <row r="17">
          <cell r="D17" t="str">
            <v xml:space="preserve"> 2608 Char:   491 000 26/04/02 14:24  DET Cent=863 Uges=HRS FTH =CRL.............HEURES............         </v>
          </cell>
          <cell r="F17">
            <v>1129</v>
          </cell>
          <cell r="G17">
            <v>1017</v>
          </cell>
          <cell r="H17">
            <v>1177</v>
          </cell>
          <cell r="I17">
            <v>1106</v>
          </cell>
          <cell r="J17">
            <v>893</v>
          </cell>
          <cell r="K17">
            <v>1060</v>
          </cell>
          <cell r="L17">
            <v>998</v>
          </cell>
          <cell r="M17">
            <v>995</v>
          </cell>
          <cell r="N17">
            <v>1295</v>
          </cell>
          <cell r="O17">
            <v>1091</v>
          </cell>
          <cell r="P17">
            <v>1006</v>
          </cell>
          <cell r="Q17">
            <v>1052</v>
          </cell>
          <cell r="R17">
            <v>842</v>
          </cell>
          <cell r="S17">
            <v>727</v>
          </cell>
          <cell r="T17">
            <v>639</v>
          </cell>
          <cell r="U17">
            <v>600</v>
          </cell>
          <cell r="V17">
            <v>679</v>
          </cell>
          <cell r="W17">
            <v>609</v>
          </cell>
          <cell r="X17">
            <v>563</v>
          </cell>
          <cell r="Y17">
            <v>665</v>
          </cell>
          <cell r="Z17">
            <v>637</v>
          </cell>
          <cell r="AA17">
            <v>589</v>
          </cell>
          <cell r="AB17">
            <v>720</v>
          </cell>
          <cell r="AC17">
            <v>634</v>
          </cell>
        </row>
        <row r="18">
          <cell r="D18" t="str">
            <v xml:space="preserve"> 2609 Char:   491 000 26/04/02 14:24  DET Cent=863 Uges=HRS FTH =EXT.............HEURES............         </v>
          </cell>
          <cell r="F18">
            <v>0</v>
          </cell>
          <cell r="G18">
            <v>266</v>
          </cell>
          <cell r="H18">
            <v>266</v>
          </cell>
          <cell r="I18">
            <v>266</v>
          </cell>
          <cell r="J18">
            <v>266</v>
          </cell>
          <cell r="K18">
            <v>266</v>
          </cell>
          <cell r="L18">
            <v>266</v>
          </cell>
          <cell r="M18">
            <v>89</v>
          </cell>
          <cell r="N18">
            <v>266</v>
          </cell>
          <cell r="O18">
            <v>266</v>
          </cell>
          <cell r="P18">
            <v>266</v>
          </cell>
          <cell r="Q18">
            <v>266</v>
          </cell>
          <cell r="R18">
            <v>172</v>
          </cell>
          <cell r="S18">
            <v>172</v>
          </cell>
          <cell r="T18">
            <v>172</v>
          </cell>
          <cell r="U18">
            <v>172</v>
          </cell>
          <cell r="V18">
            <v>172</v>
          </cell>
          <cell r="W18">
            <v>172</v>
          </cell>
          <cell r="X18">
            <v>172</v>
          </cell>
          <cell r="Y18">
            <v>172</v>
          </cell>
          <cell r="Z18">
            <v>172</v>
          </cell>
          <cell r="AA18">
            <v>172</v>
          </cell>
          <cell r="AB18">
            <v>172</v>
          </cell>
          <cell r="AC18">
            <v>172</v>
          </cell>
        </row>
        <row r="19">
          <cell r="D19" t="str">
            <v xml:space="preserve"> 2610 Char:   491 000 26/04/02 14:24  DET Cent=863 Uges=HRS FTH =HSI.............HEURES............         </v>
          </cell>
          <cell r="F19">
            <v>138</v>
          </cell>
          <cell r="G19">
            <v>138</v>
          </cell>
          <cell r="H19">
            <v>138</v>
          </cell>
          <cell r="I19">
            <v>138</v>
          </cell>
          <cell r="J19">
            <v>138</v>
          </cell>
          <cell r="K19">
            <v>138</v>
          </cell>
          <cell r="L19">
            <v>139</v>
          </cell>
          <cell r="M19">
            <v>127</v>
          </cell>
          <cell r="N19">
            <v>139</v>
          </cell>
          <cell r="O19">
            <v>139</v>
          </cell>
          <cell r="P19">
            <v>139</v>
          </cell>
          <cell r="Q19">
            <v>139</v>
          </cell>
          <cell r="R19">
            <v>145</v>
          </cell>
          <cell r="S19">
            <v>145</v>
          </cell>
          <cell r="T19">
            <v>145</v>
          </cell>
          <cell r="U19">
            <v>145</v>
          </cell>
          <cell r="V19">
            <v>145</v>
          </cell>
          <cell r="W19">
            <v>145</v>
          </cell>
          <cell r="X19">
            <v>120</v>
          </cell>
          <cell r="Y19">
            <v>144</v>
          </cell>
          <cell r="Z19">
            <v>144</v>
          </cell>
          <cell r="AA19">
            <v>144</v>
          </cell>
          <cell r="AB19">
            <v>144</v>
          </cell>
          <cell r="AC19">
            <v>120</v>
          </cell>
        </row>
        <row r="20">
          <cell r="D20" t="str">
            <v xml:space="preserve"> 2611 Char:   491 000 26/04/02 14:24  DET Cent=863 Uges=HRS FTH =PED.............HEURES............         </v>
          </cell>
          <cell r="F20">
            <v>150</v>
          </cell>
          <cell r="G20">
            <v>106</v>
          </cell>
          <cell r="H20">
            <v>183</v>
          </cell>
          <cell r="I20">
            <v>150</v>
          </cell>
          <cell r="J20">
            <v>150</v>
          </cell>
          <cell r="K20">
            <v>226</v>
          </cell>
          <cell r="L20">
            <v>150</v>
          </cell>
          <cell r="M20">
            <v>0</v>
          </cell>
          <cell r="N20">
            <v>221</v>
          </cell>
          <cell r="O20">
            <v>106</v>
          </cell>
          <cell r="P20">
            <v>216</v>
          </cell>
          <cell r="Q20">
            <v>106</v>
          </cell>
          <cell r="R20">
            <v>48</v>
          </cell>
          <cell r="S20">
            <v>48</v>
          </cell>
          <cell r="T20">
            <v>48</v>
          </cell>
          <cell r="U20">
            <v>14</v>
          </cell>
          <cell r="V20">
            <v>14</v>
          </cell>
          <cell r="W20">
            <v>14</v>
          </cell>
          <cell r="X20">
            <v>14</v>
          </cell>
          <cell r="Y20">
            <v>14</v>
          </cell>
          <cell r="Z20">
            <v>14</v>
          </cell>
          <cell r="AA20">
            <v>14</v>
          </cell>
          <cell r="AB20">
            <v>14</v>
          </cell>
          <cell r="AC20">
            <v>14</v>
          </cell>
        </row>
        <row r="21">
          <cell r="D21" t="str">
            <v xml:space="preserve"> 2612 Char:   491 000 26/04/02 14:24  DET Cent=863 Uges=HRS FTH =RSE.............HEURES............         </v>
          </cell>
          <cell r="F21">
            <v>361</v>
          </cell>
          <cell r="G21">
            <v>361</v>
          </cell>
          <cell r="H21">
            <v>361</v>
          </cell>
          <cell r="I21">
            <v>361</v>
          </cell>
          <cell r="J21">
            <v>361</v>
          </cell>
          <cell r="K21">
            <v>361</v>
          </cell>
          <cell r="L21">
            <v>361</v>
          </cell>
          <cell r="M21">
            <v>0</v>
          </cell>
          <cell r="N21">
            <v>361</v>
          </cell>
          <cell r="O21">
            <v>361</v>
          </cell>
          <cell r="P21">
            <v>361</v>
          </cell>
          <cell r="Q21">
            <v>361</v>
          </cell>
          <cell r="R21">
            <v>361</v>
          </cell>
          <cell r="S21">
            <v>361</v>
          </cell>
          <cell r="T21">
            <v>361</v>
          </cell>
          <cell r="U21">
            <v>361</v>
          </cell>
          <cell r="V21">
            <v>361</v>
          </cell>
          <cell r="W21">
            <v>361</v>
          </cell>
          <cell r="X21">
            <v>361</v>
          </cell>
          <cell r="Y21">
            <v>0</v>
          </cell>
          <cell r="Z21">
            <v>361</v>
          </cell>
          <cell r="AA21">
            <v>361</v>
          </cell>
          <cell r="AB21">
            <v>361</v>
          </cell>
          <cell r="AC21">
            <v>361</v>
          </cell>
        </row>
        <row r="22">
          <cell r="D22" t="str">
            <v xml:space="preserve"> 2613 Char:   491 000 26/04/02 14:24  DET Cent=863 Uges=HRS FTH =SSR.............HEURES............         </v>
          </cell>
          <cell r="F22">
            <v>84</v>
          </cell>
          <cell r="G22">
            <v>1189</v>
          </cell>
          <cell r="H22">
            <v>1157</v>
          </cell>
          <cell r="I22">
            <v>970</v>
          </cell>
          <cell r="J22">
            <v>762</v>
          </cell>
          <cell r="K22">
            <v>855</v>
          </cell>
          <cell r="L22">
            <v>735</v>
          </cell>
          <cell r="M22">
            <v>841</v>
          </cell>
          <cell r="N22">
            <v>885</v>
          </cell>
          <cell r="O22">
            <v>940</v>
          </cell>
          <cell r="P22">
            <v>954</v>
          </cell>
          <cell r="Q22">
            <v>777</v>
          </cell>
          <cell r="R22">
            <v>1057</v>
          </cell>
          <cell r="S22">
            <v>1021</v>
          </cell>
          <cell r="T22">
            <v>1150</v>
          </cell>
          <cell r="U22">
            <v>1041</v>
          </cell>
          <cell r="V22">
            <v>1049</v>
          </cell>
          <cell r="W22">
            <v>896</v>
          </cell>
          <cell r="X22">
            <v>737</v>
          </cell>
          <cell r="Y22">
            <v>970</v>
          </cell>
          <cell r="Z22">
            <v>1117</v>
          </cell>
          <cell r="AA22">
            <v>1071</v>
          </cell>
          <cell r="AB22">
            <v>1125</v>
          </cell>
          <cell r="AC22">
            <v>322</v>
          </cell>
        </row>
        <row r="23">
          <cell r="D23" t="str">
            <v xml:space="preserve"> 2614 Char:   394 000 26/04/02 14:24  SYN Cent=046 Uges=HRS......................HEURES            </v>
          </cell>
          <cell r="F23">
            <v>283</v>
          </cell>
          <cell r="G23">
            <v>552</v>
          </cell>
          <cell r="H23">
            <v>757</v>
          </cell>
          <cell r="I23">
            <v>731</v>
          </cell>
          <cell r="J23">
            <v>369</v>
          </cell>
          <cell r="K23">
            <v>529</v>
          </cell>
          <cell r="L23">
            <v>566</v>
          </cell>
          <cell r="M23">
            <v>430</v>
          </cell>
          <cell r="N23">
            <v>736</v>
          </cell>
          <cell r="O23">
            <v>758</v>
          </cell>
          <cell r="P23">
            <v>465</v>
          </cell>
          <cell r="Q23">
            <v>633</v>
          </cell>
          <cell r="R23">
            <v>645</v>
          </cell>
          <cell r="S23">
            <v>562</v>
          </cell>
          <cell r="T23">
            <v>670</v>
          </cell>
          <cell r="U23">
            <v>651</v>
          </cell>
          <cell r="V23">
            <v>636</v>
          </cell>
          <cell r="W23">
            <v>658</v>
          </cell>
          <cell r="X23">
            <v>565</v>
          </cell>
          <cell r="Y23">
            <v>458</v>
          </cell>
          <cell r="Z23">
            <v>682</v>
          </cell>
          <cell r="AA23">
            <v>684</v>
          </cell>
          <cell r="AB23">
            <v>586</v>
          </cell>
          <cell r="AC23">
            <v>330</v>
          </cell>
        </row>
        <row r="24">
          <cell r="D24" t="str">
            <v xml:space="preserve"> 2615 Char:   396 000 26/04/02 14:24  DET Cent=840 Uges=HRS......................HEURES            </v>
          </cell>
          <cell r="F24">
            <v>295</v>
          </cell>
          <cell r="G24">
            <v>295</v>
          </cell>
          <cell r="H24">
            <v>295</v>
          </cell>
          <cell r="I24">
            <v>295</v>
          </cell>
          <cell r="J24">
            <v>295</v>
          </cell>
          <cell r="K24">
            <v>295</v>
          </cell>
          <cell r="L24">
            <v>295</v>
          </cell>
          <cell r="M24">
            <v>295</v>
          </cell>
          <cell r="N24">
            <v>295</v>
          </cell>
          <cell r="O24">
            <v>295</v>
          </cell>
          <cell r="P24">
            <v>295</v>
          </cell>
          <cell r="Q24">
            <v>295</v>
          </cell>
          <cell r="R24">
            <v>295</v>
          </cell>
          <cell r="S24">
            <v>295</v>
          </cell>
          <cell r="T24">
            <v>295</v>
          </cell>
          <cell r="U24">
            <v>295</v>
          </cell>
          <cell r="V24">
            <v>295</v>
          </cell>
          <cell r="W24">
            <v>295</v>
          </cell>
          <cell r="X24">
            <v>295</v>
          </cell>
          <cell r="Y24">
            <v>295</v>
          </cell>
          <cell r="Z24">
            <v>295</v>
          </cell>
          <cell r="AA24">
            <v>295</v>
          </cell>
          <cell r="AB24">
            <v>295</v>
          </cell>
          <cell r="AC24">
            <v>295</v>
          </cell>
        </row>
        <row r="25">
          <cell r="D25" t="str">
            <v xml:space="preserve"> 2616 Char:   397 000 26/04/02 14:24  DET Cent=845 Uges=HRS......................HEURES            </v>
          </cell>
          <cell r="F25">
            <v>80</v>
          </cell>
          <cell r="G25">
            <v>197</v>
          </cell>
          <cell r="H25">
            <v>200</v>
          </cell>
          <cell r="I25">
            <v>270</v>
          </cell>
          <cell r="J25">
            <v>206</v>
          </cell>
          <cell r="K25">
            <v>148</v>
          </cell>
          <cell r="L25">
            <v>257</v>
          </cell>
          <cell r="M25">
            <v>192</v>
          </cell>
          <cell r="N25">
            <v>209</v>
          </cell>
          <cell r="O25">
            <v>279</v>
          </cell>
          <cell r="P25">
            <v>248</v>
          </cell>
          <cell r="Q25">
            <v>199</v>
          </cell>
          <cell r="R25">
            <v>274</v>
          </cell>
          <cell r="S25">
            <v>183</v>
          </cell>
          <cell r="T25">
            <v>220</v>
          </cell>
          <cell r="U25">
            <v>233</v>
          </cell>
          <cell r="V25">
            <v>235</v>
          </cell>
          <cell r="W25">
            <v>221</v>
          </cell>
          <cell r="X25">
            <v>239</v>
          </cell>
          <cell r="Y25">
            <v>178</v>
          </cell>
          <cell r="Z25">
            <v>249</v>
          </cell>
          <cell r="AA25">
            <v>195</v>
          </cell>
          <cell r="AB25">
            <v>156</v>
          </cell>
          <cell r="AC25">
            <v>249</v>
          </cell>
        </row>
        <row r="26">
          <cell r="D26" t="str">
            <v xml:space="preserve"> 2617 Char:   398 000 26/04/02 14:24  DET Cent=846 Uges=HRS......................HEURES            </v>
          </cell>
          <cell r="F26">
            <v>342</v>
          </cell>
          <cell r="G26">
            <v>342</v>
          </cell>
          <cell r="H26">
            <v>342</v>
          </cell>
          <cell r="I26">
            <v>342</v>
          </cell>
          <cell r="J26">
            <v>342</v>
          </cell>
          <cell r="K26">
            <v>342</v>
          </cell>
          <cell r="L26">
            <v>342</v>
          </cell>
          <cell r="M26">
            <v>342</v>
          </cell>
          <cell r="N26">
            <v>342</v>
          </cell>
          <cell r="O26">
            <v>342</v>
          </cell>
          <cell r="P26">
            <v>342</v>
          </cell>
          <cell r="Q26">
            <v>342</v>
          </cell>
          <cell r="R26">
            <v>342</v>
          </cell>
          <cell r="S26">
            <v>342</v>
          </cell>
          <cell r="T26">
            <v>342</v>
          </cell>
          <cell r="U26">
            <v>342</v>
          </cell>
          <cell r="V26">
            <v>342</v>
          </cell>
          <cell r="W26">
            <v>342</v>
          </cell>
          <cell r="X26">
            <v>342</v>
          </cell>
          <cell r="Y26">
            <v>342</v>
          </cell>
          <cell r="Z26">
            <v>342</v>
          </cell>
          <cell r="AA26">
            <v>342</v>
          </cell>
          <cell r="AB26">
            <v>342</v>
          </cell>
          <cell r="AC26">
            <v>342</v>
          </cell>
        </row>
        <row r="27">
          <cell r="D27" t="str">
            <v xml:space="preserve"> 2618 Char:   399 000 26/04/02 14:24  DET Cent=847 Uges=HRS......................HEURES            </v>
          </cell>
          <cell r="F27">
            <v>295</v>
          </cell>
          <cell r="G27">
            <v>295</v>
          </cell>
          <cell r="H27">
            <v>295</v>
          </cell>
          <cell r="I27">
            <v>295</v>
          </cell>
          <cell r="J27">
            <v>295</v>
          </cell>
          <cell r="K27">
            <v>295</v>
          </cell>
          <cell r="L27">
            <v>295</v>
          </cell>
          <cell r="M27">
            <v>295</v>
          </cell>
          <cell r="N27">
            <v>295</v>
          </cell>
          <cell r="O27">
            <v>295</v>
          </cell>
          <cell r="P27">
            <v>295</v>
          </cell>
          <cell r="Q27">
            <v>295</v>
          </cell>
          <cell r="R27">
            <v>295</v>
          </cell>
          <cell r="S27">
            <v>295</v>
          </cell>
          <cell r="T27">
            <v>295</v>
          </cell>
          <cell r="U27">
            <v>295</v>
          </cell>
          <cell r="V27">
            <v>295</v>
          </cell>
          <cell r="W27">
            <v>295</v>
          </cell>
          <cell r="X27">
            <v>295</v>
          </cell>
          <cell r="Y27">
            <v>295</v>
          </cell>
          <cell r="Z27">
            <v>295</v>
          </cell>
          <cell r="AA27">
            <v>295</v>
          </cell>
          <cell r="AB27">
            <v>295</v>
          </cell>
          <cell r="AC27">
            <v>295</v>
          </cell>
        </row>
        <row r="28">
          <cell r="D28" t="str">
            <v xml:space="preserve"> 2619 Char:   470 000 26/04/02 14:24  DET Cent=025 Uges=HRS FTH =CRL.............HEURES                     </v>
          </cell>
          <cell r="F28">
            <v>262</v>
          </cell>
          <cell r="G28">
            <v>289</v>
          </cell>
          <cell r="H28">
            <v>297</v>
          </cell>
          <cell r="I28">
            <v>311</v>
          </cell>
          <cell r="J28">
            <v>299</v>
          </cell>
          <cell r="K28">
            <v>304</v>
          </cell>
          <cell r="L28">
            <v>342</v>
          </cell>
          <cell r="M28">
            <v>327</v>
          </cell>
          <cell r="N28">
            <v>360</v>
          </cell>
          <cell r="O28">
            <v>342</v>
          </cell>
          <cell r="P28">
            <v>357</v>
          </cell>
          <cell r="Q28">
            <v>361</v>
          </cell>
          <cell r="R28">
            <v>303</v>
          </cell>
          <cell r="S28">
            <v>302</v>
          </cell>
          <cell r="T28">
            <v>310</v>
          </cell>
          <cell r="U28">
            <v>310</v>
          </cell>
          <cell r="V28">
            <v>322</v>
          </cell>
          <cell r="W28">
            <v>328</v>
          </cell>
          <cell r="X28">
            <v>337</v>
          </cell>
          <cell r="Y28">
            <v>324</v>
          </cell>
          <cell r="Z28">
            <v>334</v>
          </cell>
          <cell r="AA28">
            <v>327</v>
          </cell>
          <cell r="AB28">
            <v>321</v>
          </cell>
          <cell r="AC28">
            <v>334</v>
          </cell>
        </row>
        <row r="29">
          <cell r="D29" t="str">
            <v xml:space="preserve"> 2620 Char:   470 000 26/04/02 14:24  DET Cent=025 Uges=HRS FTH =HSI.............HEURES                     </v>
          </cell>
          <cell r="F29">
            <v>10</v>
          </cell>
          <cell r="G29">
            <v>12</v>
          </cell>
          <cell r="H29">
            <v>12</v>
          </cell>
          <cell r="I29">
            <v>13</v>
          </cell>
          <cell r="J29">
            <v>12</v>
          </cell>
          <cell r="K29">
            <v>11</v>
          </cell>
          <cell r="L29">
            <v>10</v>
          </cell>
          <cell r="M29">
            <v>10</v>
          </cell>
          <cell r="N29">
            <v>9</v>
          </cell>
          <cell r="O29">
            <v>8</v>
          </cell>
          <cell r="P29">
            <v>9</v>
          </cell>
          <cell r="Q29">
            <v>7</v>
          </cell>
          <cell r="R29">
            <v>5</v>
          </cell>
          <cell r="S29">
            <v>5</v>
          </cell>
          <cell r="T29">
            <v>5</v>
          </cell>
          <cell r="U29">
            <v>4</v>
          </cell>
          <cell r="V29">
            <v>4</v>
          </cell>
          <cell r="W29">
            <v>3</v>
          </cell>
          <cell r="X29">
            <v>3</v>
          </cell>
          <cell r="Y29">
            <v>2</v>
          </cell>
          <cell r="Z29">
            <v>2</v>
          </cell>
          <cell r="AA29">
            <v>1</v>
          </cell>
          <cell r="AB29">
            <v>1</v>
          </cell>
          <cell r="AC29">
            <v>0</v>
          </cell>
        </row>
        <row r="30">
          <cell r="D30" t="str">
            <v xml:space="preserve"> 2621 Char:   470 000 26/04/02 14:24  DET Cent=025 Uges=HRS FTH =SSR.............HEURES                    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9</v>
          </cell>
          <cell r="S30">
            <v>9</v>
          </cell>
          <cell r="T30">
            <v>9</v>
          </cell>
          <cell r="U30">
            <v>9</v>
          </cell>
          <cell r="V30">
            <v>9</v>
          </cell>
          <cell r="W30">
            <v>5</v>
          </cell>
          <cell r="X30">
            <v>0</v>
          </cell>
          <cell r="Y30">
            <v>5</v>
          </cell>
          <cell r="Z30">
            <v>9</v>
          </cell>
          <cell r="AA30">
            <v>9</v>
          </cell>
          <cell r="AB30">
            <v>9</v>
          </cell>
          <cell r="AC30">
            <v>5</v>
          </cell>
        </row>
        <row r="31">
          <cell r="D31" t="str">
            <v xml:space="preserve"> 2622 Char:   471 000 26/04/02 14:24  DET Cent=828 Uges=HRS FTH =CRL.............HEURES                     </v>
          </cell>
          <cell r="F31">
            <v>4122</v>
          </cell>
          <cell r="G31">
            <v>4713</v>
          </cell>
          <cell r="H31">
            <v>4804</v>
          </cell>
          <cell r="I31">
            <v>5041</v>
          </cell>
          <cell r="J31">
            <v>4809</v>
          </cell>
          <cell r="K31">
            <v>4894</v>
          </cell>
          <cell r="L31">
            <v>5264</v>
          </cell>
          <cell r="M31">
            <v>5331</v>
          </cell>
          <cell r="N31">
            <v>5545</v>
          </cell>
          <cell r="O31">
            <v>5728</v>
          </cell>
          <cell r="P31">
            <v>5934</v>
          </cell>
          <cell r="Q31">
            <v>5871</v>
          </cell>
          <cell r="R31">
            <v>4687</v>
          </cell>
          <cell r="S31">
            <v>4469</v>
          </cell>
          <cell r="T31">
            <v>4411</v>
          </cell>
          <cell r="U31">
            <v>4144</v>
          </cell>
          <cell r="V31">
            <v>4312</v>
          </cell>
          <cell r="W31">
            <v>4250</v>
          </cell>
          <cell r="X31">
            <v>4339</v>
          </cell>
          <cell r="Y31">
            <v>3648</v>
          </cell>
          <cell r="Z31">
            <v>4220</v>
          </cell>
          <cell r="AA31">
            <v>4291</v>
          </cell>
          <cell r="AB31">
            <v>4347</v>
          </cell>
          <cell r="AC31">
            <v>4009</v>
          </cell>
        </row>
        <row r="32">
          <cell r="D32" t="str">
            <v xml:space="preserve"> 2623 Char:   471 000 26/04/02 14:24  DET Cent=828 Uges=HRS FTH =HSI.............HEURES                     </v>
          </cell>
          <cell r="F32">
            <v>1058</v>
          </cell>
          <cell r="G32">
            <v>1157</v>
          </cell>
          <cell r="H32">
            <v>1161</v>
          </cell>
          <cell r="I32">
            <v>1160</v>
          </cell>
          <cell r="J32">
            <v>1104</v>
          </cell>
          <cell r="K32">
            <v>1161</v>
          </cell>
          <cell r="L32">
            <v>1163</v>
          </cell>
          <cell r="M32">
            <v>696</v>
          </cell>
          <cell r="N32">
            <v>1143</v>
          </cell>
          <cell r="O32">
            <v>1067</v>
          </cell>
          <cell r="P32">
            <v>998</v>
          </cell>
          <cell r="Q32">
            <v>990</v>
          </cell>
          <cell r="R32">
            <v>1200</v>
          </cell>
          <cell r="S32">
            <v>1203</v>
          </cell>
          <cell r="T32">
            <v>1176</v>
          </cell>
          <cell r="U32">
            <v>1191</v>
          </cell>
          <cell r="V32">
            <v>1171</v>
          </cell>
          <cell r="W32">
            <v>1175</v>
          </cell>
          <cell r="X32">
            <v>294</v>
          </cell>
          <cell r="Y32">
            <v>1157</v>
          </cell>
          <cell r="Z32">
            <v>1143</v>
          </cell>
          <cell r="AA32">
            <v>1108</v>
          </cell>
          <cell r="AB32">
            <v>1096</v>
          </cell>
          <cell r="AC32">
            <v>232</v>
          </cell>
        </row>
        <row r="33">
          <cell r="D33" t="str">
            <v xml:space="preserve"> 2624 Char:  1093 000 26/04/02 14:24  SYN  Dpt=MOS Uges=EUR------------------HEURES                </v>
          </cell>
          <cell r="F33">
            <v>184478</v>
          </cell>
          <cell r="G33">
            <v>279069</v>
          </cell>
          <cell r="H33">
            <v>312213</v>
          </cell>
          <cell r="I33">
            <v>321858</v>
          </cell>
          <cell r="J33">
            <v>231865</v>
          </cell>
          <cell r="K33">
            <v>266292</v>
          </cell>
          <cell r="L33">
            <v>278300</v>
          </cell>
          <cell r="M33">
            <v>269593</v>
          </cell>
          <cell r="N33">
            <v>305985</v>
          </cell>
          <cell r="O33">
            <v>324375</v>
          </cell>
          <cell r="P33">
            <v>307637</v>
          </cell>
          <cell r="Q33">
            <v>286013</v>
          </cell>
          <cell r="R33">
            <v>336309</v>
          </cell>
          <cell r="S33">
            <v>337662</v>
          </cell>
          <cell r="T33">
            <v>369743</v>
          </cell>
          <cell r="U33">
            <v>346983</v>
          </cell>
          <cell r="V33">
            <v>347181</v>
          </cell>
          <cell r="W33">
            <v>312910</v>
          </cell>
          <cell r="X33">
            <v>306759</v>
          </cell>
          <cell r="Y33">
            <v>288000</v>
          </cell>
          <cell r="Z33">
            <v>351467</v>
          </cell>
          <cell r="AA33">
            <v>348965</v>
          </cell>
          <cell r="AB33">
            <v>319344</v>
          </cell>
          <cell r="AC33">
            <v>254201</v>
          </cell>
        </row>
        <row r="34">
          <cell r="D34" t="str">
            <v xml:space="preserve"> 2625 Char:  1091 000 26/04/02 14:24  SYN  Dpt=HA  Uges=EUR------------------HEURES                </v>
          </cell>
          <cell r="F34">
            <v>595325</v>
          </cell>
          <cell r="G34">
            <v>780392</v>
          </cell>
          <cell r="H34">
            <v>709221</v>
          </cell>
          <cell r="I34">
            <v>782271</v>
          </cell>
          <cell r="J34">
            <v>648943</v>
          </cell>
          <cell r="K34">
            <v>692363</v>
          </cell>
          <cell r="L34">
            <v>818457</v>
          </cell>
          <cell r="M34">
            <v>559342</v>
          </cell>
          <cell r="N34">
            <v>727360</v>
          </cell>
          <cell r="O34">
            <v>816446</v>
          </cell>
          <cell r="P34">
            <v>691283</v>
          </cell>
          <cell r="Q34">
            <v>669730</v>
          </cell>
          <cell r="R34">
            <v>1055686</v>
          </cell>
          <cell r="S34">
            <v>1044256</v>
          </cell>
          <cell r="T34">
            <v>1102896</v>
          </cell>
          <cell r="U34">
            <v>864549</v>
          </cell>
          <cell r="V34">
            <v>1073456</v>
          </cell>
          <cell r="W34">
            <v>1055440</v>
          </cell>
          <cell r="X34">
            <v>1012924</v>
          </cell>
          <cell r="Y34">
            <v>347813</v>
          </cell>
          <cell r="Z34">
            <v>1051111</v>
          </cell>
          <cell r="AA34">
            <v>1074701</v>
          </cell>
          <cell r="AB34">
            <v>1031560</v>
          </cell>
          <cell r="AC34">
            <v>383727</v>
          </cell>
        </row>
        <row r="35">
          <cell r="D35" t="str">
            <v xml:space="preserve"> 2626 Char:  1094 000 26/04/02 14:24  SYN  Dpt=ACG Ress=032 Uges=EUR---------HEURES                         </v>
          </cell>
          <cell r="F35">
            <v>68048</v>
          </cell>
          <cell r="G35">
            <v>163166</v>
          </cell>
          <cell r="H35">
            <v>170772</v>
          </cell>
          <cell r="I35">
            <v>216320</v>
          </cell>
          <cell r="J35">
            <v>133609</v>
          </cell>
          <cell r="K35">
            <v>108675</v>
          </cell>
          <cell r="L35">
            <v>197391</v>
          </cell>
          <cell r="M35">
            <v>120799</v>
          </cell>
          <cell r="N35">
            <v>164802</v>
          </cell>
          <cell r="O35">
            <v>203122</v>
          </cell>
          <cell r="P35">
            <v>156807</v>
          </cell>
          <cell r="Q35">
            <v>126179</v>
          </cell>
          <cell r="R35">
            <v>224248</v>
          </cell>
          <cell r="S35">
            <v>159546</v>
          </cell>
          <cell r="T35">
            <v>202002</v>
          </cell>
          <cell r="U35">
            <v>197457</v>
          </cell>
          <cell r="V35">
            <v>180539</v>
          </cell>
          <cell r="W35">
            <v>167529</v>
          </cell>
          <cell r="X35">
            <v>174188</v>
          </cell>
          <cell r="Y35">
            <v>106943</v>
          </cell>
          <cell r="Z35">
            <v>196880</v>
          </cell>
          <cell r="AA35">
            <v>174498</v>
          </cell>
          <cell r="AB35">
            <v>125265</v>
          </cell>
          <cell r="AC35">
            <v>153299</v>
          </cell>
        </row>
        <row r="36">
          <cell r="D36" t="str">
            <v xml:space="preserve"> 2834 Char:   503 000 26/04/02 14:24  DET  Dpt=MOI Ress=001......................HEURES           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D37" t="str">
            <v xml:space="preserve"> 2835 Char:   503 000 26/04/02 14:24  DET  Dpt=MOI Ress=002......................HEURES            </v>
          </cell>
          <cell r="F37">
            <v>283</v>
          </cell>
          <cell r="G37">
            <v>331</v>
          </cell>
          <cell r="H37">
            <v>372</v>
          </cell>
          <cell r="I37">
            <v>324</v>
          </cell>
          <cell r="J37">
            <v>309</v>
          </cell>
          <cell r="K37">
            <v>355</v>
          </cell>
          <cell r="L37">
            <v>313</v>
          </cell>
          <cell r="M37">
            <v>91</v>
          </cell>
          <cell r="N37">
            <v>342</v>
          </cell>
          <cell r="O37">
            <v>323</v>
          </cell>
          <cell r="P37">
            <v>343</v>
          </cell>
          <cell r="Q37">
            <v>309</v>
          </cell>
          <cell r="R37">
            <v>316</v>
          </cell>
          <cell r="S37">
            <v>329</v>
          </cell>
          <cell r="T37">
            <v>333</v>
          </cell>
          <cell r="U37">
            <v>310</v>
          </cell>
          <cell r="V37">
            <v>331</v>
          </cell>
          <cell r="W37">
            <v>304</v>
          </cell>
          <cell r="X37">
            <v>310</v>
          </cell>
          <cell r="Y37">
            <v>108</v>
          </cell>
          <cell r="Z37">
            <v>328</v>
          </cell>
          <cell r="AA37">
            <v>327</v>
          </cell>
          <cell r="AB37">
            <v>322</v>
          </cell>
          <cell r="AC37">
            <v>277</v>
          </cell>
        </row>
        <row r="38">
          <cell r="D38" t="str">
            <v xml:space="preserve"> 2836 Char:   503 000 26/04/02 14:24  DET  Dpt=MOI Ress=003......................HEURES            </v>
          </cell>
          <cell r="F38">
            <v>76</v>
          </cell>
          <cell r="G38">
            <v>92</v>
          </cell>
          <cell r="H38">
            <v>117</v>
          </cell>
          <cell r="I38">
            <v>82</v>
          </cell>
          <cell r="J38">
            <v>67</v>
          </cell>
          <cell r="K38">
            <v>95</v>
          </cell>
          <cell r="L38">
            <v>80</v>
          </cell>
          <cell r="M38">
            <v>92</v>
          </cell>
          <cell r="N38">
            <v>82</v>
          </cell>
          <cell r="O38">
            <v>89</v>
          </cell>
          <cell r="P38">
            <v>83</v>
          </cell>
          <cell r="Q38">
            <v>97</v>
          </cell>
          <cell r="R38">
            <v>56</v>
          </cell>
          <cell r="S38">
            <v>80</v>
          </cell>
          <cell r="T38">
            <v>68</v>
          </cell>
          <cell r="U38">
            <v>81</v>
          </cell>
          <cell r="V38">
            <v>73</v>
          </cell>
          <cell r="W38">
            <v>59</v>
          </cell>
          <cell r="X38">
            <v>52</v>
          </cell>
          <cell r="Y38">
            <v>65</v>
          </cell>
          <cell r="Z38">
            <v>68</v>
          </cell>
          <cell r="AA38">
            <v>81</v>
          </cell>
          <cell r="AB38">
            <v>81</v>
          </cell>
          <cell r="AC38">
            <v>73</v>
          </cell>
        </row>
        <row r="39">
          <cell r="D39" t="str">
            <v xml:space="preserve"> 2837 Char:   503 000 26/04/02 14:24  DET  Dpt=MOI Ress=004......................HEURES            </v>
          </cell>
          <cell r="F39">
            <v>1440</v>
          </cell>
          <cell r="G39">
            <v>1699</v>
          </cell>
          <cell r="H39">
            <v>1580</v>
          </cell>
          <cell r="I39">
            <v>1730</v>
          </cell>
          <cell r="J39">
            <v>1669</v>
          </cell>
          <cell r="K39">
            <v>1631</v>
          </cell>
          <cell r="L39">
            <v>1744</v>
          </cell>
          <cell r="M39">
            <v>1895</v>
          </cell>
          <cell r="N39">
            <v>1961</v>
          </cell>
          <cell r="O39">
            <v>1968</v>
          </cell>
          <cell r="P39">
            <v>2161</v>
          </cell>
          <cell r="Q39">
            <v>2153</v>
          </cell>
          <cell r="R39">
            <v>1392</v>
          </cell>
          <cell r="S39">
            <v>1235</v>
          </cell>
          <cell r="T39">
            <v>1186</v>
          </cell>
          <cell r="U39">
            <v>1245</v>
          </cell>
          <cell r="V39">
            <v>1177</v>
          </cell>
          <cell r="W39">
            <v>1103</v>
          </cell>
          <cell r="X39">
            <v>935</v>
          </cell>
          <cell r="Y39">
            <v>1069</v>
          </cell>
          <cell r="Z39">
            <v>1155</v>
          </cell>
          <cell r="AA39">
            <v>1307</v>
          </cell>
          <cell r="AB39">
            <v>1298</v>
          </cell>
          <cell r="AC39">
            <v>1139</v>
          </cell>
        </row>
        <row r="40">
          <cell r="D40" t="str">
            <v xml:space="preserve"> 2838 Char:   503 000 26/04/02 14:24  DET  Dpt=MOI Ress=005......................HEURES            </v>
          </cell>
          <cell r="F40">
            <v>796</v>
          </cell>
          <cell r="G40">
            <v>776</v>
          </cell>
          <cell r="H40">
            <v>827</v>
          </cell>
          <cell r="I40">
            <v>775</v>
          </cell>
          <cell r="J40">
            <v>831</v>
          </cell>
          <cell r="K40">
            <v>800</v>
          </cell>
          <cell r="L40">
            <v>784</v>
          </cell>
          <cell r="M40">
            <v>749</v>
          </cell>
          <cell r="N40">
            <v>858</v>
          </cell>
          <cell r="O40">
            <v>1001</v>
          </cell>
          <cell r="P40">
            <v>867</v>
          </cell>
          <cell r="Q40">
            <v>994</v>
          </cell>
          <cell r="R40">
            <v>1040</v>
          </cell>
          <cell r="S40">
            <v>1037</v>
          </cell>
          <cell r="T40">
            <v>965</v>
          </cell>
          <cell r="U40">
            <v>862</v>
          </cell>
          <cell r="V40">
            <v>1000</v>
          </cell>
          <cell r="W40">
            <v>1035</v>
          </cell>
          <cell r="X40">
            <v>816</v>
          </cell>
          <cell r="Y40">
            <v>578</v>
          </cell>
          <cell r="Z40">
            <v>924</v>
          </cell>
          <cell r="AA40">
            <v>976</v>
          </cell>
          <cell r="AB40">
            <v>1009</v>
          </cell>
          <cell r="AC40">
            <v>507</v>
          </cell>
        </row>
        <row r="41">
          <cell r="D41" t="str">
            <v xml:space="preserve"> 2839 Char:   503 000 26/04/02 14:24  DET  Dpt=MOI Ress=006......................HEURES            </v>
          </cell>
          <cell r="F41">
            <v>884</v>
          </cell>
          <cell r="G41">
            <v>1404</v>
          </cell>
          <cell r="H41">
            <v>1500</v>
          </cell>
          <cell r="I41">
            <v>1315</v>
          </cell>
          <cell r="J41">
            <v>1202</v>
          </cell>
          <cell r="K41">
            <v>1381</v>
          </cell>
          <cell r="L41">
            <v>1207</v>
          </cell>
          <cell r="M41">
            <v>975</v>
          </cell>
          <cell r="N41">
            <v>1455</v>
          </cell>
          <cell r="O41">
            <v>1321</v>
          </cell>
          <cell r="P41">
            <v>1361</v>
          </cell>
          <cell r="Q41">
            <v>1241</v>
          </cell>
          <cell r="R41">
            <v>1203</v>
          </cell>
          <cell r="S41">
            <v>1163</v>
          </cell>
          <cell r="T41">
            <v>1163</v>
          </cell>
          <cell r="U41">
            <v>1099</v>
          </cell>
          <cell r="V41">
            <v>1138</v>
          </cell>
          <cell r="W41">
            <v>963</v>
          </cell>
          <cell r="X41">
            <v>971</v>
          </cell>
          <cell r="Y41">
            <v>852</v>
          </cell>
          <cell r="Z41">
            <v>1188</v>
          </cell>
          <cell r="AA41">
            <v>1157</v>
          </cell>
          <cell r="AB41">
            <v>1202</v>
          </cell>
          <cell r="AC41">
            <v>658</v>
          </cell>
        </row>
        <row r="42">
          <cell r="D42" t="str">
            <v xml:space="preserve"> 2840 Char:   503 000 26/04/02 14:24  DET  Dpt=MOI Ress=007......................HEURES            </v>
          </cell>
          <cell r="F42">
            <v>1526</v>
          </cell>
          <cell r="G42">
            <v>1960</v>
          </cell>
          <cell r="H42">
            <v>2071</v>
          </cell>
          <cell r="I42">
            <v>2088</v>
          </cell>
          <cell r="J42">
            <v>1192</v>
          </cell>
          <cell r="K42">
            <v>2220</v>
          </cell>
          <cell r="L42">
            <v>2050</v>
          </cell>
          <cell r="M42">
            <v>739</v>
          </cell>
          <cell r="N42">
            <v>2544</v>
          </cell>
          <cell r="O42">
            <v>2226</v>
          </cell>
          <cell r="P42">
            <v>915</v>
          </cell>
          <cell r="Q42">
            <v>1773</v>
          </cell>
          <cell r="R42">
            <v>2235</v>
          </cell>
          <cell r="S42">
            <v>1925</v>
          </cell>
          <cell r="T42">
            <v>2456</v>
          </cell>
          <cell r="U42">
            <v>2245</v>
          </cell>
          <cell r="V42">
            <v>1625</v>
          </cell>
          <cell r="W42">
            <v>2200</v>
          </cell>
          <cell r="X42">
            <v>1798</v>
          </cell>
          <cell r="Y42">
            <v>864</v>
          </cell>
          <cell r="Z42">
            <v>2023</v>
          </cell>
          <cell r="AA42">
            <v>2187</v>
          </cell>
          <cell r="AB42">
            <v>1441</v>
          </cell>
          <cell r="AC42">
            <v>757</v>
          </cell>
        </row>
        <row r="43">
          <cell r="D43" t="str">
            <v xml:space="preserve"> 2841 Char:   503 000 26/04/02 14:24  DET  Dpt=MOI Ress=008......................HEURES            </v>
          </cell>
          <cell r="F43">
            <v>143</v>
          </cell>
          <cell r="G43">
            <v>585</v>
          </cell>
          <cell r="H43">
            <v>1348</v>
          </cell>
          <cell r="I43">
            <v>1029</v>
          </cell>
          <cell r="J43">
            <v>637</v>
          </cell>
          <cell r="K43">
            <v>723</v>
          </cell>
          <cell r="L43">
            <v>683</v>
          </cell>
          <cell r="M43">
            <v>764</v>
          </cell>
          <cell r="N43">
            <v>866</v>
          </cell>
          <cell r="O43">
            <v>1103</v>
          </cell>
          <cell r="P43">
            <v>1272</v>
          </cell>
          <cell r="Q43">
            <v>927</v>
          </cell>
          <cell r="R43">
            <v>823</v>
          </cell>
          <cell r="S43">
            <v>986</v>
          </cell>
          <cell r="T43">
            <v>1042</v>
          </cell>
          <cell r="U43">
            <v>780</v>
          </cell>
          <cell r="V43">
            <v>1041</v>
          </cell>
          <cell r="W43">
            <v>814</v>
          </cell>
          <cell r="X43">
            <v>892</v>
          </cell>
          <cell r="Y43">
            <v>926</v>
          </cell>
          <cell r="Z43">
            <v>1187</v>
          </cell>
          <cell r="AA43">
            <v>916</v>
          </cell>
          <cell r="AB43">
            <v>921</v>
          </cell>
          <cell r="AC43">
            <v>965</v>
          </cell>
        </row>
        <row r="44">
          <cell r="D44" t="str">
            <v xml:space="preserve"> 2842 Char:   503 000 26/04/02 14:24  DET  Dpt=MOI Ress=009......................HEURES            </v>
          </cell>
          <cell r="F44">
            <v>397</v>
          </cell>
          <cell r="G44">
            <v>713</v>
          </cell>
          <cell r="H44">
            <v>710</v>
          </cell>
          <cell r="I44">
            <v>784</v>
          </cell>
          <cell r="J44">
            <v>567</v>
          </cell>
          <cell r="K44">
            <v>610</v>
          </cell>
          <cell r="L44">
            <v>597</v>
          </cell>
          <cell r="M44">
            <v>565</v>
          </cell>
          <cell r="N44">
            <v>731</v>
          </cell>
          <cell r="O44">
            <v>738</v>
          </cell>
          <cell r="P44">
            <v>639</v>
          </cell>
          <cell r="Q44">
            <v>693</v>
          </cell>
          <cell r="R44">
            <v>780</v>
          </cell>
          <cell r="S44">
            <v>666</v>
          </cell>
          <cell r="T44">
            <v>705</v>
          </cell>
          <cell r="U44">
            <v>615</v>
          </cell>
          <cell r="V44">
            <v>640</v>
          </cell>
          <cell r="W44">
            <v>636</v>
          </cell>
          <cell r="X44">
            <v>385</v>
          </cell>
          <cell r="Y44">
            <v>478</v>
          </cell>
          <cell r="Z44">
            <v>669</v>
          </cell>
          <cell r="AA44">
            <v>627</v>
          </cell>
          <cell r="AB44">
            <v>735</v>
          </cell>
          <cell r="AC44">
            <v>358</v>
          </cell>
        </row>
        <row r="45">
          <cell r="D45" t="str">
            <v xml:space="preserve"> 2843 Char:   503 000 26/04/02 14:24  DET  Dpt=MOI Ress=010......................HEURES            </v>
          </cell>
          <cell r="F45">
            <v>1396</v>
          </cell>
          <cell r="G45">
            <v>1820</v>
          </cell>
          <cell r="H45">
            <v>1872</v>
          </cell>
          <cell r="I45">
            <v>1975</v>
          </cell>
          <cell r="J45">
            <v>1674</v>
          </cell>
          <cell r="K45">
            <v>1673</v>
          </cell>
          <cell r="L45">
            <v>1952</v>
          </cell>
          <cell r="M45">
            <v>1503</v>
          </cell>
          <cell r="N45">
            <v>1913</v>
          </cell>
          <cell r="O45">
            <v>1934</v>
          </cell>
          <cell r="P45">
            <v>2046</v>
          </cell>
          <cell r="Q45">
            <v>1845</v>
          </cell>
          <cell r="R45">
            <v>2072</v>
          </cell>
          <cell r="S45">
            <v>1965</v>
          </cell>
          <cell r="T45">
            <v>2044</v>
          </cell>
          <cell r="U45">
            <v>1909</v>
          </cell>
          <cell r="V45">
            <v>1880</v>
          </cell>
          <cell r="W45">
            <v>1815</v>
          </cell>
          <cell r="X45">
            <v>1431</v>
          </cell>
          <cell r="Y45">
            <v>1606</v>
          </cell>
          <cell r="Z45">
            <v>1761</v>
          </cell>
          <cell r="AA45">
            <v>1658</v>
          </cell>
          <cell r="AB45">
            <v>1710</v>
          </cell>
          <cell r="AC45">
            <v>1243</v>
          </cell>
        </row>
        <row r="46">
          <cell r="D46" t="str">
            <v xml:space="preserve"> 2844 Char:   503 000 26/04/02 14:24  DET  Dpt=MOI Ress=011......................HEURES            </v>
          </cell>
          <cell r="F46">
            <v>258</v>
          </cell>
          <cell r="G46">
            <v>356</v>
          </cell>
          <cell r="H46">
            <v>328</v>
          </cell>
          <cell r="I46">
            <v>273</v>
          </cell>
          <cell r="J46">
            <v>207</v>
          </cell>
          <cell r="K46">
            <v>177</v>
          </cell>
          <cell r="L46">
            <v>234</v>
          </cell>
          <cell r="M46">
            <v>180</v>
          </cell>
          <cell r="N46">
            <v>270</v>
          </cell>
          <cell r="O46">
            <v>254</v>
          </cell>
          <cell r="P46">
            <v>240</v>
          </cell>
          <cell r="Q46">
            <v>180</v>
          </cell>
          <cell r="R46">
            <v>229</v>
          </cell>
          <cell r="S46">
            <v>196</v>
          </cell>
          <cell r="T46">
            <v>216</v>
          </cell>
          <cell r="U46">
            <v>223</v>
          </cell>
          <cell r="V46">
            <v>239</v>
          </cell>
          <cell r="W46">
            <v>232</v>
          </cell>
          <cell r="X46">
            <v>247</v>
          </cell>
          <cell r="Y46">
            <v>223</v>
          </cell>
          <cell r="Z46">
            <v>194</v>
          </cell>
          <cell r="AA46">
            <v>159</v>
          </cell>
          <cell r="AB46">
            <v>201</v>
          </cell>
          <cell r="AC46">
            <v>250</v>
          </cell>
        </row>
        <row r="47">
          <cell r="D47" t="str">
            <v xml:space="preserve"> 2845 Char:   503 000 26/04/02 14:24  DET  Dpt=MOI Ress=012......................HEURES            </v>
          </cell>
          <cell r="F47">
            <v>80</v>
          </cell>
          <cell r="G47">
            <v>197</v>
          </cell>
          <cell r="H47">
            <v>200</v>
          </cell>
          <cell r="I47">
            <v>270</v>
          </cell>
          <cell r="J47">
            <v>206</v>
          </cell>
          <cell r="K47">
            <v>148</v>
          </cell>
          <cell r="L47">
            <v>257</v>
          </cell>
          <cell r="M47">
            <v>192</v>
          </cell>
          <cell r="N47">
            <v>209</v>
          </cell>
          <cell r="O47">
            <v>279</v>
          </cell>
          <cell r="P47">
            <v>248</v>
          </cell>
          <cell r="Q47">
            <v>199</v>
          </cell>
          <cell r="R47">
            <v>274</v>
          </cell>
          <cell r="S47">
            <v>183</v>
          </cell>
          <cell r="T47">
            <v>220</v>
          </cell>
          <cell r="U47">
            <v>233</v>
          </cell>
          <cell r="V47">
            <v>235</v>
          </cell>
          <cell r="W47">
            <v>221</v>
          </cell>
          <cell r="X47">
            <v>239</v>
          </cell>
          <cell r="Y47">
            <v>178</v>
          </cell>
          <cell r="Z47">
            <v>249</v>
          </cell>
          <cell r="AA47">
            <v>195</v>
          </cell>
          <cell r="AB47">
            <v>156</v>
          </cell>
          <cell r="AC47">
            <v>249</v>
          </cell>
        </row>
        <row r="48">
          <cell r="D48" t="str">
            <v xml:space="preserve"> 2846 Char:   503 000 26/04/02 14:24  DET  Dpt=MOI Ress=013......................HEURES            </v>
          </cell>
          <cell r="F48">
            <v>1549</v>
          </cell>
          <cell r="G48">
            <v>1575</v>
          </cell>
          <cell r="H48">
            <v>1686</v>
          </cell>
          <cell r="I48">
            <v>1721</v>
          </cell>
          <cell r="J48">
            <v>1739</v>
          </cell>
          <cell r="K48">
            <v>1951</v>
          </cell>
          <cell r="L48">
            <v>1947</v>
          </cell>
          <cell r="M48">
            <v>1880</v>
          </cell>
          <cell r="N48">
            <v>1957</v>
          </cell>
          <cell r="O48">
            <v>1891</v>
          </cell>
          <cell r="P48">
            <v>1857</v>
          </cell>
          <cell r="Q48">
            <v>1868</v>
          </cell>
          <cell r="R48">
            <v>1383</v>
          </cell>
          <cell r="S48">
            <v>1434</v>
          </cell>
          <cell r="T48">
            <v>1393</v>
          </cell>
          <cell r="U48">
            <v>1321</v>
          </cell>
          <cell r="V48">
            <v>1426</v>
          </cell>
          <cell r="W48">
            <v>1473</v>
          </cell>
          <cell r="X48">
            <v>1451</v>
          </cell>
          <cell r="Y48">
            <v>1552</v>
          </cell>
          <cell r="Z48">
            <v>1523</v>
          </cell>
          <cell r="AA48">
            <v>1457</v>
          </cell>
          <cell r="AB48">
            <v>1424</v>
          </cell>
          <cell r="AC48">
            <v>1351</v>
          </cell>
        </row>
        <row r="49">
          <cell r="D49" t="str">
            <v xml:space="preserve"> 2847 Char:   503 000 26/04/02 14:24  DET  Dpt=MOI Ress=055......................HEURES            </v>
          </cell>
          <cell r="F49">
            <v>554</v>
          </cell>
          <cell r="G49">
            <v>853</v>
          </cell>
          <cell r="H49">
            <v>1066</v>
          </cell>
          <cell r="I49">
            <v>1055</v>
          </cell>
          <cell r="J49">
            <v>681</v>
          </cell>
          <cell r="K49">
            <v>844</v>
          </cell>
          <cell r="L49">
            <v>918</v>
          </cell>
          <cell r="M49">
            <v>767</v>
          </cell>
          <cell r="N49">
            <v>1105</v>
          </cell>
          <cell r="O49">
            <v>1108</v>
          </cell>
          <cell r="P49">
            <v>831</v>
          </cell>
          <cell r="Q49">
            <v>1000</v>
          </cell>
          <cell r="R49">
            <v>962</v>
          </cell>
          <cell r="S49">
            <v>878</v>
          </cell>
          <cell r="T49">
            <v>994</v>
          </cell>
          <cell r="U49">
            <v>974</v>
          </cell>
          <cell r="V49">
            <v>970</v>
          </cell>
          <cell r="W49">
            <v>993</v>
          </cell>
          <cell r="X49">
            <v>905</v>
          </cell>
          <cell r="Y49">
            <v>789</v>
          </cell>
          <cell r="Z49">
            <v>1027</v>
          </cell>
          <cell r="AA49">
            <v>1021</v>
          </cell>
          <cell r="AB49">
            <v>917</v>
          </cell>
          <cell r="AC49">
            <v>670</v>
          </cell>
        </row>
        <row r="50">
          <cell r="D50" t="str">
            <v xml:space="preserve"> 2848 Char:   503 000 26/04/02 14:24  DET  Dpt=MOI Ress=056......................HEURES            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180">
          <cell r="D180" t="str">
            <v>REQUETES TARIFS 1090 ( Valeurs  $)</v>
          </cell>
        </row>
        <row r="181">
          <cell r="D181" t="str">
            <v xml:space="preserve"> 2627 Char:  1090 000 26/04/02 14:24  DET  Dpt=TRF Ress=029 Uges=EUR---TARIFS                               </v>
          </cell>
          <cell r="F181">
            <v>13748</v>
          </cell>
          <cell r="G181">
            <v>20183</v>
          </cell>
          <cell r="H181">
            <v>21808</v>
          </cell>
          <cell r="I181">
            <v>27310</v>
          </cell>
          <cell r="J181">
            <v>23004</v>
          </cell>
          <cell r="K181">
            <v>23654</v>
          </cell>
          <cell r="L181">
            <v>23668</v>
          </cell>
          <cell r="M181">
            <v>14305</v>
          </cell>
          <cell r="N181">
            <v>20542</v>
          </cell>
          <cell r="O181">
            <v>20914</v>
          </cell>
          <cell r="P181">
            <v>23453</v>
          </cell>
          <cell r="Q181">
            <v>11909</v>
          </cell>
          <cell r="R181">
            <v>19744</v>
          </cell>
          <cell r="S181">
            <v>19247</v>
          </cell>
          <cell r="T181">
            <v>20417</v>
          </cell>
          <cell r="U181">
            <v>20575</v>
          </cell>
          <cell r="V181">
            <v>19203</v>
          </cell>
          <cell r="W181">
            <v>20162</v>
          </cell>
          <cell r="X181">
            <v>13746</v>
          </cell>
          <cell r="Y181">
            <v>10687</v>
          </cell>
          <cell r="Z181">
            <v>19459</v>
          </cell>
          <cell r="AA181">
            <v>16951</v>
          </cell>
          <cell r="AB181">
            <v>16715</v>
          </cell>
          <cell r="AC181">
            <v>16458</v>
          </cell>
        </row>
        <row r="182">
          <cell r="D182" t="str">
            <v xml:space="preserve"> 2628 Char:  1090 000 26/04/02 14:24  DET  Dpt=TRF Ress=030 Uges=EUR---TARIFS                               </v>
          </cell>
          <cell r="F182">
            <v>20033</v>
          </cell>
          <cell r="G182">
            <v>38984</v>
          </cell>
          <cell r="H182">
            <v>33651</v>
          </cell>
          <cell r="I182">
            <v>41225</v>
          </cell>
          <cell r="J182">
            <v>33309</v>
          </cell>
          <cell r="K182">
            <v>30108</v>
          </cell>
          <cell r="L182">
            <v>32948</v>
          </cell>
          <cell r="M182">
            <v>25913</v>
          </cell>
          <cell r="N182">
            <v>27375</v>
          </cell>
          <cell r="O182">
            <v>38810</v>
          </cell>
          <cell r="P182">
            <v>34975</v>
          </cell>
          <cell r="Q182">
            <v>22115</v>
          </cell>
          <cell r="R182">
            <v>33126</v>
          </cell>
          <cell r="S182">
            <v>29768</v>
          </cell>
          <cell r="T182">
            <v>29725</v>
          </cell>
          <cell r="U182">
            <v>35010</v>
          </cell>
          <cell r="V182">
            <v>30400</v>
          </cell>
          <cell r="W182">
            <v>33029</v>
          </cell>
          <cell r="X182">
            <v>26967</v>
          </cell>
          <cell r="Y182">
            <v>22209</v>
          </cell>
          <cell r="Z182">
            <v>31363</v>
          </cell>
          <cell r="AA182">
            <v>26925</v>
          </cell>
          <cell r="AB182">
            <v>27420</v>
          </cell>
          <cell r="AC182">
            <v>27168</v>
          </cell>
        </row>
        <row r="183">
          <cell r="D183" t="str">
            <v xml:space="preserve"> 2629 Char:  1090 000 26/04/02 14:24  DET  Dpt=TRF Ress=031 Uges=EUR---TARIFS                               </v>
          </cell>
          <cell r="F183">
            <v>2357</v>
          </cell>
          <cell r="G183">
            <v>3487</v>
          </cell>
          <cell r="H183">
            <v>4440</v>
          </cell>
          <cell r="I183">
            <v>3905</v>
          </cell>
          <cell r="J183">
            <v>4170</v>
          </cell>
          <cell r="K183">
            <v>4311</v>
          </cell>
          <cell r="L183">
            <v>3568</v>
          </cell>
          <cell r="M183">
            <v>2577</v>
          </cell>
          <cell r="N183">
            <v>3806</v>
          </cell>
          <cell r="O183">
            <v>3528</v>
          </cell>
          <cell r="P183">
            <v>3501</v>
          </cell>
          <cell r="Q183">
            <v>2523</v>
          </cell>
          <cell r="R183">
            <v>3807</v>
          </cell>
          <cell r="S183">
            <v>3535</v>
          </cell>
          <cell r="T183">
            <v>3252</v>
          </cell>
          <cell r="U183">
            <v>4390</v>
          </cell>
          <cell r="V183">
            <v>3694</v>
          </cell>
          <cell r="W183">
            <v>3548</v>
          </cell>
          <cell r="X183">
            <v>2195</v>
          </cell>
          <cell r="Y183">
            <v>2339</v>
          </cell>
          <cell r="Z183">
            <v>3499</v>
          </cell>
          <cell r="AA183">
            <v>2996</v>
          </cell>
          <cell r="AB183">
            <v>3192</v>
          </cell>
          <cell r="AC183">
            <v>3819</v>
          </cell>
        </row>
      </sheetData>
      <sheetData sheetId="2" refreshError="1"/>
      <sheetData sheetId="3" refreshError="1">
        <row r="4">
          <cell r="C4" t="str">
            <v xml:space="preserve"> 2630 Plan:   512 000 26/04/02 14:24  DET  pro=300 FTH =ALI............CESSIONS....................</v>
          </cell>
          <cell r="E4">
            <v>0</v>
          </cell>
          <cell r="F4">
            <v>26</v>
          </cell>
          <cell r="G4">
            <v>15</v>
          </cell>
          <cell r="H4">
            <v>0</v>
          </cell>
          <cell r="I4">
            <v>0</v>
          </cell>
          <cell r="J4">
            <v>6</v>
          </cell>
          <cell r="K4">
            <v>3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C5" t="str">
            <v xml:space="preserve"> 2631 Plan:   512 000 26/04/02 14:24  DET  pro=301 FTH =ALI............CESSIONS....................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C6" t="str">
            <v xml:space="preserve"> 2632 Plan:   512 000 26/04/02 14:24  DET  pro=305 FTH =ALI............CESSIONS....................</v>
          </cell>
          <cell r="E6">
            <v>180</v>
          </cell>
          <cell r="F6">
            <v>160</v>
          </cell>
          <cell r="G6">
            <v>240</v>
          </cell>
          <cell r="H6">
            <v>183</v>
          </cell>
          <cell r="I6">
            <v>200</v>
          </cell>
          <cell r="J6">
            <v>363</v>
          </cell>
          <cell r="K6">
            <v>284</v>
          </cell>
          <cell r="L6">
            <v>145</v>
          </cell>
          <cell r="M6">
            <v>263</v>
          </cell>
          <cell r="N6">
            <v>264</v>
          </cell>
          <cell r="O6">
            <v>184</v>
          </cell>
          <cell r="P6">
            <v>224</v>
          </cell>
        </row>
        <row r="7">
          <cell r="C7" t="str">
            <v xml:space="preserve"> 2633 Plan:   512 000 26/04/02 14:24  DET  pro=306 FTH =ALI............CESSIONS....................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C8" t="str">
            <v xml:space="preserve"> 2634 Plan:   512 000 26/04/02 14:24  DET  pro=307 FTH =ALI............CESSIONS....................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 t="str">
            <v xml:space="preserve"> 2635 Plan:   512 000 26/04/02 14:24  DET  pro=310 FTH =ALI............CESSIONS....................</v>
          </cell>
          <cell r="E9">
            <v>8</v>
          </cell>
          <cell r="F9">
            <v>12</v>
          </cell>
          <cell r="G9">
            <v>1</v>
          </cell>
          <cell r="H9">
            <v>0</v>
          </cell>
          <cell r="I9">
            <v>5</v>
          </cell>
          <cell r="J9">
            <v>5</v>
          </cell>
          <cell r="K9">
            <v>0</v>
          </cell>
          <cell r="L9">
            <v>5</v>
          </cell>
          <cell r="M9">
            <v>5</v>
          </cell>
          <cell r="N9">
            <v>5</v>
          </cell>
          <cell r="O9">
            <v>0</v>
          </cell>
          <cell r="P9">
            <v>5</v>
          </cell>
        </row>
        <row r="10">
          <cell r="C10" t="str">
            <v xml:space="preserve"> 2636 Plan:   512 000 26/04/02 14:24  DET  pro=311 FTH =ALI............CESSIONS....................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C11" t="str">
            <v xml:space="preserve"> 2637 Plan:   512 000 26/04/02 14:24  DET  pro=312 FTH =ALI............CESSIONS....................</v>
          </cell>
          <cell r="E11">
            <v>0</v>
          </cell>
          <cell r="F11">
            <v>12</v>
          </cell>
          <cell r="G11">
            <v>0</v>
          </cell>
          <cell r="H11">
            <v>14</v>
          </cell>
          <cell r="I11">
            <v>8</v>
          </cell>
          <cell r="J11">
            <v>2</v>
          </cell>
          <cell r="K11">
            <v>18</v>
          </cell>
          <cell r="L11">
            <v>0</v>
          </cell>
          <cell r="M11">
            <v>12</v>
          </cell>
          <cell r="N11">
            <v>6</v>
          </cell>
          <cell r="O11">
            <v>0</v>
          </cell>
          <cell r="P11">
            <v>18</v>
          </cell>
        </row>
        <row r="12">
          <cell r="C12" t="str">
            <v xml:space="preserve"> 2638 Plan:   512 000 26/04/02 14:24  DET  pro=315 FTH =ALI............CESSIONS....................</v>
          </cell>
          <cell r="E12">
            <v>20</v>
          </cell>
          <cell r="F12">
            <v>22</v>
          </cell>
          <cell r="G12">
            <v>30</v>
          </cell>
          <cell r="H12">
            <v>20</v>
          </cell>
          <cell r="I12">
            <v>0</v>
          </cell>
          <cell r="J12">
            <v>30</v>
          </cell>
          <cell r="K12">
            <v>20</v>
          </cell>
          <cell r="L12">
            <v>0</v>
          </cell>
          <cell r="M12">
            <v>20</v>
          </cell>
          <cell r="N12">
            <v>10</v>
          </cell>
          <cell r="O12">
            <v>10</v>
          </cell>
          <cell r="P12">
            <v>10</v>
          </cell>
        </row>
        <row r="13">
          <cell r="C13" t="str">
            <v xml:space="preserve"> 2639 Plan:   512 000 26/04/02 14:24  DET  pro=320 FTH =ALI............CESSIONS....................</v>
          </cell>
          <cell r="E13">
            <v>17</v>
          </cell>
          <cell r="F13">
            <v>3</v>
          </cell>
          <cell r="G13">
            <v>1</v>
          </cell>
          <cell r="H13">
            <v>20</v>
          </cell>
          <cell r="I13">
            <v>10</v>
          </cell>
          <cell r="J13">
            <v>10</v>
          </cell>
          <cell r="K13">
            <v>20</v>
          </cell>
          <cell r="L13">
            <v>10</v>
          </cell>
          <cell r="M13">
            <v>11</v>
          </cell>
          <cell r="N13">
            <v>20</v>
          </cell>
          <cell r="O13">
            <v>0</v>
          </cell>
          <cell r="P13">
            <v>20</v>
          </cell>
        </row>
        <row r="14">
          <cell r="C14" t="str">
            <v xml:space="preserve"> 2640 Plan:   512 000 26/04/02 14:24  DET  pro=325 FTH =ALI............CESSIONS....................</v>
          </cell>
          <cell r="E14">
            <v>35</v>
          </cell>
          <cell r="F14">
            <v>64</v>
          </cell>
          <cell r="G14">
            <v>60</v>
          </cell>
          <cell r="H14">
            <v>82</v>
          </cell>
          <cell r="I14">
            <v>30</v>
          </cell>
          <cell r="J14">
            <v>61</v>
          </cell>
          <cell r="K14">
            <v>71</v>
          </cell>
          <cell r="L14">
            <v>1</v>
          </cell>
          <cell r="M14">
            <v>91</v>
          </cell>
          <cell r="N14">
            <v>71</v>
          </cell>
          <cell r="O14">
            <v>1</v>
          </cell>
          <cell r="P14">
            <v>61</v>
          </cell>
        </row>
        <row r="15">
          <cell r="C15" t="str">
            <v xml:space="preserve"> 2641 Plan:   512 000 26/04/02 14:24  DET  pro=330 FTH =ALI............CESSIONS....................</v>
          </cell>
          <cell r="E15">
            <v>6</v>
          </cell>
          <cell r="F15">
            <v>10</v>
          </cell>
          <cell r="G15">
            <v>0</v>
          </cell>
          <cell r="H15">
            <v>6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</v>
          </cell>
          <cell r="O15">
            <v>0</v>
          </cell>
          <cell r="P15">
            <v>0</v>
          </cell>
        </row>
        <row r="16">
          <cell r="C16" t="str">
            <v xml:space="preserve"> 2642 Plan:   512 000 26/04/02 14:24  DET  pro=331 FTH =ALI............CESSIONS....................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 t="str">
            <v xml:space="preserve"> 2643 Plan:   512 000 26/04/02 14:24  DET  pro=340 FTH =ALI............CESSIONS....................</v>
          </cell>
          <cell r="E17">
            <v>13</v>
          </cell>
          <cell r="F17">
            <v>20</v>
          </cell>
          <cell r="G17">
            <v>20</v>
          </cell>
          <cell r="H17">
            <v>20</v>
          </cell>
          <cell r="I17">
            <v>0</v>
          </cell>
          <cell r="J17">
            <v>0</v>
          </cell>
          <cell r="K17">
            <v>0</v>
          </cell>
          <cell r="L17">
            <v>10</v>
          </cell>
          <cell r="M17">
            <v>30</v>
          </cell>
          <cell r="N17">
            <v>30</v>
          </cell>
          <cell r="O17">
            <v>0</v>
          </cell>
          <cell r="P17">
            <v>0</v>
          </cell>
        </row>
        <row r="18">
          <cell r="C18" t="str">
            <v xml:space="preserve"> 2644 Plan:   512 000 26/04/02 14:24  DET  pro=345 FTH =ALI............CESSIONS....................</v>
          </cell>
          <cell r="E18">
            <v>10</v>
          </cell>
          <cell r="F18">
            <v>0</v>
          </cell>
          <cell r="G18">
            <v>5</v>
          </cell>
          <cell r="H18">
            <v>5</v>
          </cell>
          <cell r="I18">
            <v>5</v>
          </cell>
          <cell r="J18">
            <v>0</v>
          </cell>
          <cell r="K18">
            <v>0</v>
          </cell>
          <cell r="L18">
            <v>5</v>
          </cell>
          <cell r="M18">
            <v>5</v>
          </cell>
          <cell r="N18">
            <v>0</v>
          </cell>
          <cell r="O18">
            <v>0</v>
          </cell>
          <cell r="P18">
            <v>10</v>
          </cell>
        </row>
        <row r="19">
          <cell r="C19" t="str">
            <v xml:space="preserve"> 2645 Plan:   513 000 26/04/02 14:24  DET  pro=012 FTH =ATR............CESSIONS....................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</v>
          </cell>
          <cell r="M19">
            <v>0</v>
          </cell>
          <cell r="N19">
            <v>2</v>
          </cell>
          <cell r="O19">
            <v>3</v>
          </cell>
          <cell r="P19">
            <v>3</v>
          </cell>
        </row>
        <row r="20">
          <cell r="C20" t="str">
            <v xml:space="preserve"> 2646 Plan:   513 000 26/04/02 14:24  DET  pro=013 FTH =ATR............CESSIONS....................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8</v>
          </cell>
          <cell r="M20">
            <v>0</v>
          </cell>
          <cell r="N20">
            <v>2</v>
          </cell>
          <cell r="O20">
            <v>3</v>
          </cell>
          <cell r="P20">
            <v>3</v>
          </cell>
        </row>
        <row r="21">
          <cell r="C21" t="str">
            <v xml:space="preserve"> 2647 Plan:   513 000 26/04/02 14:24  DET  pro=014 FTH =ATR............CESSIONS....................</v>
          </cell>
          <cell r="E21">
            <v>0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4</v>
          </cell>
          <cell r="N21">
            <v>6</v>
          </cell>
          <cell r="O21">
            <v>6</v>
          </cell>
          <cell r="P21">
            <v>6</v>
          </cell>
        </row>
        <row r="22">
          <cell r="C22" t="str">
            <v xml:space="preserve"> 2648 Plan:   513 000 26/04/02 14:24  DET  pro=015 FTH =ATR............CESSIONS....................</v>
          </cell>
          <cell r="E22">
            <v>0</v>
          </cell>
          <cell r="F22">
            <v>0</v>
          </cell>
          <cell r="G22">
            <v>0</v>
          </cell>
          <cell r="H22">
            <v>2</v>
          </cell>
          <cell r="I22">
            <v>0</v>
          </cell>
          <cell r="J22">
            <v>0</v>
          </cell>
          <cell r="K22">
            <v>0</v>
          </cell>
          <cell r="L22">
            <v>2</v>
          </cell>
          <cell r="M22">
            <v>4</v>
          </cell>
          <cell r="N22">
            <v>6</v>
          </cell>
          <cell r="O22">
            <v>6</v>
          </cell>
          <cell r="P22">
            <v>6</v>
          </cell>
        </row>
        <row r="23">
          <cell r="C23" t="str">
            <v xml:space="preserve"> 2649 Plan:   513 000 26/04/02 14:24  DET  pro=016 FTH =ATR............CESSIONS....................</v>
          </cell>
          <cell r="E23">
            <v>0</v>
          </cell>
          <cell r="F23">
            <v>2</v>
          </cell>
          <cell r="G23">
            <v>0</v>
          </cell>
          <cell r="H23">
            <v>2</v>
          </cell>
          <cell r="I23">
            <v>0</v>
          </cell>
          <cell r="J23">
            <v>0</v>
          </cell>
          <cell r="K23">
            <v>0</v>
          </cell>
          <cell r="L23">
            <v>2</v>
          </cell>
          <cell r="M23">
            <v>4</v>
          </cell>
          <cell r="N23">
            <v>6</v>
          </cell>
          <cell r="O23">
            <v>6</v>
          </cell>
          <cell r="P23">
            <v>6</v>
          </cell>
        </row>
        <row r="24">
          <cell r="C24" t="str">
            <v xml:space="preserve"> 2650 Plan:   513 000 26/04/02 14:24  DET  pro=018 FTH =ATR............CESSIONS....................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 t="str">
            <v xml:space="preserve"> 2651 Plan:   513 000 26/04/02 14:24  DET  pro=198 FTH =ATR............CESSIONS....................</v>
          </cell>
          <cell r="E25">
            <v>4</v>
          </cell>
          <cell r="F25">
            <v>3</v>
          </cell>
          <cell r="G25">
            <v>12</v>
          </cell>
          <cell r="H25">
            <v>10</v>
          </cell>
          <cell r="I25">
            <v>0</v>
          </cell>
          <cell r="J25">
            <v>4</v>
          </cell>
          <cell r="K25">
            <v>3</v>
          </cell>
          <cell r="L25">
            <v>1</v>
          </cell>
          <cell r="M25">
            <v>4</v>
          </cell>
          <cell r="N25">
            <v>4</v>
          </cell>
          <cell r="O25">
            <v>4</v>
          </cell>
          <cell r="P25">
            <v>4</v>
          </cell>
        </row>
        <row r="26">
          <cell r="C26" t="str">
            <v xml:space="preserve"> 2652 Plan:   513 000 26/04/02 14:24  DET  pro=199 FTH =ATR............CESSIONS....................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3</v>
          </cell>
          <cell r="J26">
            <v>0</v>
          </cell>
          <cell r="K26">
            <v>4</v>
          </cell>
          <cell r="L26">
            <v>2</v>
          </cell>
          <cell r="M26">
            <v>1</v>
          </cell>
          <cell r="N26">
            <v>0</v>
          </cell>
          <cell r="O26">
            <v>4</v>
          </cell>
          <cell r="P26">
            <v>1</v>
          </cell>
        </row>
        <row r="27">
          <cell r="C27" t="str">
            <v xml:space="preserve"> 2653 Plan:   513 000 26/04/02 14:24  DET  pro=200 FTH =ATR............CESSIONS....................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8</v>
          </cell>
          <cell r="O27">
            <v>8</v>
          </cell>
          <cell r="P27">
            <v>8</v>
          </cell>
        </row>
        <row r="28">
          <cell r="C28" t="str">
            <v xml:space="preserve"> 2654 Plan:   513 000 26/04/02 14:24  DET  pro=201 FTH =ATR............CESSIONS....................</v>
          </cell>
          <cell r="E28">
            <v>10</v>
          </cell>
          <cell r="F28">
            <v>15</v>
          </cell>
          <cell r="G28">
            <v>39</v>
          </cell>
          <cell r="H28">
            <v>29</v>
          </cell>
          <cell r="I28">
            <v>22</v>
          </cell>
          <cell r="J28">
            <v>27</v>
          </cell>
          <cell r="K28">
            <v>19</v>
          </cell>
          <cell r="L28">
            <v>17</v>
          </cell>
          <cell r="M28">
            <v>22</v>
          </cell>
          <cell r="N28">
            <v>12</v>
          </cell>
          <cell r="O28">
            <v>20</v>
          </cell>
          <cell r="P28">
            <v>7</v>
          </cell>
        </row>
        <row r="29">
          <cell r="C29" t="str">
            <v xml:space="preserve"> 2655 Plan:   513 000 26/04/02 14:24  DET  pro=202 FTH =ATR............CESSIONS....................</v>
          </cell>
          <cell r="E29">
            <v>0</v>
          </cell>
          <cell r="F29">
            <v>1</v>
          </cell>
          <cell r="G29">
            <v>3</v>
          </cell>
          <cell r="H29">
            <v>4</v>
          </cell>
          <cell r="I29">
            <v>0</v>
          </cell>
          <cell r="J29">
            <v>6</v>
          </cell>
          <cell r="K29">
            <v>2</v>
          </cell>
          <cell r="L29">
            <v>0</v>
          </cell>
          <cell r="M29">
            <v>2</v>
          </cell>
          <cell r="N29">
            <v>0</v>
          </cell>
          <cell r="O29">
            <v>10</v>
          </cell>
          <cell r="P29">
            <v>0</v>
          </cell>
        </row>
        <row r="30">
          <cell r="C30" t="str">
            <v xml:space="preserve"> 2656 Plan:   513 000 26/04/02 14:24  DET  pro=203 FTH =ATR............CESSIONS....................</v>
          </cell>
          <cell r="E30">
            <v>0</v>
          </cell>
          <cell r="F30">
            <v>1</v>
          </cell>
          <cell r="G30">
            <v>23</v>
          </cell>
          <cell r="H30">
            <v>3</v>
          </cell>
          <cell r="I30">
            <v>0</v>
          </cell>
          <cell r="J30">
            <v>2</v>
          </cell>
          <cell r="K30">
            <v>4</v>
          </cell>
          <cell r="L30">
            <v>4</v>
          </cell>
          <cell r="M30">
            <v>4</v>
          </cell>
          <cell r="N30">
            <v>3</v>
          </cell>
          <cell r="O30">
            <v>0</v>
          </cell>
          <cell r="P30">
            <v>3</v>
          </cell>
        </row>
        <row r="31">
          <cell r="C31" t="str">
            <v xml:space="preserve"> 2657 Plan:   513 000 26/04/02 14:24  DET  pro=204 FTH =ATR............CESSIONS....................</v>
          </cell>
          <cell r="E31">
            <v>0</v>
          </cell>
          <cell r="F31">
            <v>1</v>
          </cell>
          <cell r="G31">
            <v>16</v>
          </cell>
          <cell r="H31">
            <v>7</v>
          </cell>
          <cell r="I31">
            <v>9</v>
          </cell>
          <cell r="J31">
            <v>8</v>
          </cell>
          <cell r="K31">
            <v>2</v>
          </cell>
          <cell r="L31">
            <v>0</v>
          </cell>
          <cell r="M31">
            <v>0</v>
          </cell>
          <cell r="N31">
            <v>3</v>
          </cell>
          <cell r="O31">
            <v>9</v>
          </cell>
          <cell r="P31">
            <v>6</v>
          </cell>
        </row>
        <row r="32">
          <cell r="C32" t="str">
            <v xml:space="preserve"> 2658 Plan:   513 000 26/04/02 14:24  DET  pro=205 FTH =ATR............CESSIONS....................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2</v>
          </cell>
          <cell r="P32">
            <v>1</v>
          </cell>
        </row>
        <row r="33">
          <cell r="C33" t="str">
            <v xml:space="preserve"> 2659 Plan:   513 000 26/04/02 14:24  DET  pro=206 FTH =ATR............CESSIONS....................</v>
          </cell>
          <cell r="E33">
            <v>0</v>
          </cell>
          <cell r="F33">
            <v>0</v>
          </cell>
          <cell r="G33">
            <v>7</v>
          </cell>
          <cell r="H33">
            <v>8</v>
          </cell>
          <cell r="I33">
            <v>0</v>
          </cell>
          <cell r="J33">
            <v>0</v>
          </cell>
          <cell r="K33">
            <v>0</v>
          </cell>
          <cell r="L33">
            <v>5</v>
          </cell>
          <cell r="M33">
            <v>6</v>
          </cell>
          <cell r="N33">
            <v>7</v>
          </cell>
          <cell r="O33">
            <v>6</v>
          </cell>
          <cell r="P33">
            <v>0</v>
          </cell>
        </row>
        <row r="34">
          <cell r="C34" t="str">
            <v xml:space="preserve"> 2660 Plan:   513 000 26/04/02 14:24  DET  pro=207 FTH =ATR............CESSIONS....................</v>
          </cell>
          <cell r="E34">
            <v>0</v>
          </cell>
          <cell r="F34">
            <v>1</v>
          </cell>
          <cell r="G34">
            <v>12</v>
          </cell>
          <cell r="H34">
            <v>2</v>
          </cell>
          <cell r="I34">
            <v>0</v>
          </cell>
          <cell r="J34">
            <v>0</v>
          </cell>
          <cell r="K34">
            <v>4</v>
          </cell>
          <cell r="L34">
            <v>6</v>
          </cell>
          <cell r="M34">
            <v>4</v>
          </cell>
          <cell r="N34">
            <v>4</v>
          </cell>
          <cell r="O34">
            <v>6</v>
          </cell>
          <cell r="P34">
            <v>3</v>
          </cell>
        </row>
        <row r="35">
          <cell r="C35" t="str">
            <v xml:space="preserve"> 2661 Plan:   513 000 26/04/02 14:24  DET  pro=208 FTH =ATR............CESSIONS....................</v>
          </cell>
          <cell r="E35">
            <v>0</v>
          </cell>
          <cell r="F35">
            <v>0</v>
          </cell>
          <cell r="G35">
            <v>10</v>
          </cell>
          <cell r="H35">
            <v>0</v>
          </cell>
          <cell r="I35">
            <v>2</v>
          </cell>
          <cell r="J35">
            <v>5</v>
          </cell>
          <cell r="K35">
            <v>1</v>
          </cell>
          <cell r="L35">
            <v>7</v>
          </cell>
          <cell r="M35">
            <v>2</v>
          </cell>
          <cell r="N35">
            <v>5</v>
          </cell>
          <cell r="O35">
            <v>1</v>
          </cell>
          <cell r="P35">
            <v>4</v>
          </cell>
        </row>
        <row r="36">
          <cell r="C36" t="str">
            <v xml:space="preserve"> 2662 Plan:   513 000 26/04/02 14:24  DET  pro=209 FTH =ATR............CESSIONS....................</v>
          </cell>
          <cell r="E36">
            <v>0</v>
          </cell>
          <cell r="F36">
            <v>7</v>
          </cell>
          <cell r="G36">
            <v>6</v>
          </cell>
          <cell r="H36">
            <v>5</v>
          </cell>
          <cell r="I36">
            <v>4</v>
          </cell>
          <cell r="J36">
            <v>4</v>
          </cell>
          <cell r="K36">
            <v>4</v>
          </cell>
          <cell r="L36">
            <v>6</v>
          </cell>
          <cell r="M36">
            <v>4</v>
          </cell>
          <cell r="N36">
            <v>4</v>
          </cell>
          <cell r="O36">
            <v>4</v>
          </cell>
          <cell r="P36">
            <v>3</v>
          </cell>
        </row>
        <row r="37">
          <cell r="C37" t="str">
            <v xml:space="preserve"> 2663 Plan:   513 000 26/04/02 14:24  DET  pro=213 FTH =ATR............CESSIONS....................</v>
          </cell>
          <cell r="E37">
            <v>0</v>
          </cell>
          <cell r="F37">
            <v>0</v>
          </cell>
          <cell r="G37">
            <v>2</v>
          </cell>
          <cell r="H37">
            <v>6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</v>
          </cell>
          <cell r="O37">
            <v>1</v>
          </cell>
          <cell r="P37">
            <v>0</v>
          </cell>
        </row>
        <row r="38">
          <cell r="C38" t="str">
            <v xml:space="preserve"> 2664 Plan:   513 000 26/04/02 14:24  DET  pro=214 FTH =ATR............CESSIONS....................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3</v>
          </cell>
          <cell r="O38">
            <v>0</v>
          </cell>
          <cell r="P38">
            <v>0</v>
          </cell>
        </row>
        <row r="39">
          <cell r="C39" t="str">
            <v xml:space="preserve"> 2665 Plan:   513 000 26/04/02 14:24  DET  pro=215 FTH =ATR............CESSIONS....................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3</v>
          </cell>
          <cell r="O39">
            <v>0</v>
          </cell>
          <cell r="P39">
            <v>0</v>
          </cell>
        </row>
        <row r="40">
          <cell r="C40" t="str">
            <v xml:space="preserve"> 2666 Plan:   513 000 26/04/02 14:24  DET  pro=218 FTH =ATR............CESSIONS....................</v>
          </cell>
          <cell r="E40">
            <v>0</v>
          </cell>
          <cell r="F40">
            <v>0</v>
          </cell>
          <cell r="G40">
            <v>2</v>
          </cell>
          <cell r="H40">
            <v>2</v>
          </cell>
          <cell r="I40">
            <v>2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2</v>
          </cell>
          <cell r="O40">
            <v>2</v>
          </cell>
          <cell r="P40">
            <v>0</v>
          </cell>
        </row>
        <row r="41">
          <cell r="C41" t="str">
            <v xml:space="preserve"> 2667 Plan:   513 000 26/04/02 14:24  DET  pro=219 FTH =ATR............CESSIONS....................</v>
          </cell>
          <cell r="E41">
            <v>0</v>
          </cell>
          <cell r="F41">
            <v>0</v>
          </cell>
          <cell r="G41">
            <v>2</v>
          </cell>
          <cell r="H41">
            <v>2</v>
          </cell>
          <cell r="I41">
            <v>2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2</v>
          </cell>
          <cell r="O41">
            <v>2</v>
          </cell>
          <cell r="P41">
            <v>0</v>
          </cell>
        </row>
        <row r="42">
          <cell r="C42" t="str">
            <v xml:space="preserve"> 2668 Plan:   514 000 26/04/02 14:24  DET  pro=951 FTH =BOB............CESSIONS....................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0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</row>
        <row r="43">
          <cell r="C43" t="str">
            <v xml:space="preserve"> 2669 Plan:   515 000 26/04/02 14:24  DET  pro=001 FTH =CRL............CESSIONS....................</v>
          </cell>
          <cell r="E43">
            <v>0</v>
          </cell>
          <cell r="F43">
            <v>9</v>
          </cell>
          <cell r="G43">
            <v>8</v>
          </cell>
          <cell r="H43">
            <v>9</v>
          </cell>
          <cell r="I43">
            <v>3</v>
          </cell>
          <cell r="J43">
            <v>0</v>
          </cell>
          <cell r="K43">
            <v>12</v>
          </cell>
          <cell r="L43">
            <v>0</v>
          </cell>
          <cell r="M43">
            <v>0</v>
          </cell>
          <cell r="N43">
            <v>12</v>
          </cell>
          <cell r="O43">
            <v>0</v>
          </cell>
          <cell r="P43">
            <v>0</v>
          </cell>
        </row>
        <row r="44">
          <cell r="C44" t="str">
            <v xml:space="preserve"> 2670 Plan:   515 000 26/04/02 14:24  DET  pro=003 FTH =CRL............CESSIONS....................</v>
          </cell>
          <cell r="E44">
            <v>0</v>
          </cell>
          <cell r="F44">
            <v>0</v>
          </cell>
          <cell r="G44">
            <v>0</v>
          </cell>
          <cell r="H44">
            <v>4</v>
          </cell>
          <cell r="I44">
            <v>0</v>
          </cell>
          <cell r="J44">
            <v>0</v>
          </cell>
          <cell r="K44">
            <v>0</v>
          </cell>
          <cell r="L44">
            <v>1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C45" t="str">
            <v xml:space="preserve"> 2671 Plan:   515 000 26/04/02 14:24  DET  pro=004 FTH =CRL............CESSIONS....................</v>
          </cell>
          <cell r="E45">
            <v>0</v>
          </cell>
          <cell r="F45">
            <v>2</v>
          </cell>
          <cell r="G45">
            <v>0</v>
          </cell>
          <cell r="H45">
            <v>0</v>
          </cell>
          <cell r="I45">
            <v>4</v>
          </cell>
          <cell r="J45">
            <v>0</v>
          </cell>
          <cell r="K45">
            <v>0</v>
          </cell>
          <cell r="L45">
            <v>0</v>
          </cell>
          <cell r="M45">
            <v>2</v>
          </cell>
          <cell r="N45">
            <v>0</v>
          </cell>
          <cell r="O45">
            <v>2</v>
          </cell>
          <cell r="P45">
            <v>0</v>
          </cell>
        </row>
        <row r="46">
          <cell r="C46" t="str">
            <v xml:space="preserve"> 2672 Plan:   515 000 26/04/02 14:24  DET  pro=005 FTH =CRL............CESSIONS....................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</v>
          </cell>
          <cell r="J46">
            <v>1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C47" t="str">
            <v xml:space="preserve"> 2673 Plan:   515 000 26/04/02 14:24  DET  pro=006 FTH =CRL............CESSIONS....................</v>
          </cell>
          <cell r="E47">
            <v>4</v>
          </cell>
          <cell r="F47">
            <v>2</v>
          </cell>
          <cell r="G47">
            <v>0</v>
          </cell>
          <cell r="H47">
            <v>5</v>
          </cell>
          <cell r="I47">
            <v>2</v>
          </cell>
          <cell r="J47">
            <v>1</v>
          </cell>
          <cell r="K47">
            <v>1</v>
          </cell>
          <cell r="L47">
            <v>9</v>
          </cell>
          <cell r="M47">
            <v>1</v>
          </cell>
          <cell r="N47">
            <v>2</v>
          </cell>
          <cell r="O47">
            <v>3</v>
          </cell>
          <cell r="P47">
            <v>4</v>
          </cell>
        </row>
        <row r="48">
          <cell r="C48" t="str">
            <v xml:space="preserve"> 2674 Plan:   515 000 26/04/02 14:24  DET  pro=008 FTH =CRL............CESSIONS....................</v>
          </cell>
          <cell r="E48">
            <v>0</v>
          </cell>
          <cell r="F48">
            <v>0</v>
          </cell>
          <cell r="G48">
            <v>1</v>
          </cell>
          <cell r="H48">
            <v>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C49" t="str">
            <v xml:space="preserve"> 2675 Plan:   515 000 26/04/02 14:24  DET  pro=009 FTH =CRL............CESSIONS....................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C50" t="str">
            <v xml:space="preserve"> 2676 Plan:   515 000 26/04/02 14:24  DET  pro=010 FTH =CRL............CESSIONS....................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C51" t="str">
            <v xml:space="preserve"> 2677 Plan:   515 000 26/04/02 14:24  DET  pro=011 FTH =CRL............CESSIONS....................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C52" t="str">
            <v xml:space="preserve"> 2678 Plan:   515 000 26/04/02 14:24  DET  pro=019 FTH =CRL............CESSIONS....................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</v>
          </cell>
          <cell r="K52">
            <v>1</v>
          </cell>
          <cell r="L52">
            <v>2</v>
          </cell>
          <cell r="M52">
            <v>1</v>
          </cell>
          <cell r="N52">
            <v>1</v>
          </cell>
          <cell r="O52">
            <v>1</v>
          </cell>
          <cell r="P52">
            <v>4</v>
          </cell>
        </row>
        <row r="53">
          <cell r="C53" t="str">
            <v xml:space="preserve"> 2679 Plan:   515 000 26/04/02 14:24  DET  pro=020 FTH =CRL............CESSIONS....................</v>
          </cell>
          <cell r="E53">
            <v>0</v>
          </cell>
          <cell r="F53">
            <v>0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C54" t="str">
            <v xml:space="preserve"> 2680 Plan:   515 000 26/04/02 14:24  DET  pro=025 FTH =CRL............CESSIONS....................</v>
          </cell>
          <cell r="E54">
            <v>0</v>
          </cell>
          <cell r="F54">
            <v>0</v>
          </cell>
          <cell r="G54">
            <v>2</v>
          </cell>
          <cell r="H54">
            <v>6</v>
          </cell>
          <cell r="I54">
            <v>0</v>
          </cell>
          <cell r="J54">
            <v>0</v>
          </cell>
          <cell r="K54">
            <v>4</v>
          </cell>
          <cell r="L54">
            <v>0</v>
          </cell>
          <cell r="M54">
            <v>4</v>
          </cell>
          <cell r="N54">
            <v>2</v>
          </cell>
          <cell r="O54">
            <v>4</v>
          </cell>
          <cell r="P54">
            <v>0</v>
          </cell>
        </row>
        <row r="55">
          <cell r="C55" t="str">
            <v xml:space="preserve"> 2681 Plan:   515 000 26/04/02 14:24  DET  pro=032 FTH =CRL............CESSIONS....................</v>
          </cell>
          <cell r="E55">
            <v>0</v>
          </cell>
          <cell r="F55">
            <v>2</v>
          </cell>
          <cell r="G55">
            <v>1</v>
          </cell>
          <cell r="H55">
            <v>0</v>
          </cell>
          <cell r="I55">
            <v>2</v>
          </cell>
          <cell r="J55">
            <v>0</v>
          </cell>
          <cell r="K55">
            <v>2</v>
          </cell>
          <cell r="L55">
            <v>0</v>
          </cell>
          <cell r="M55">
            <v>3</v>
          </cell>
          <cell r="N55">
            <v>1</v>
          </cell>
          <cell r="O55">
            <v>2</v>
          </cell>
          <cell r="P55">
            <v>0</v>
          </cell>
        </row>
        <row r="56">
          <cell r="C56" t="str">
            <v xml:space="preserve"> 2682 Plan:   515 000 26/04/02 14:24  DET  pro=043 FTH =CRL............CESSIONS....................</v>
          </cell>
          <cell r="E56">
            <v>5</v>
          </cell>
          <cell r="F56">
            <v>2</v>
          </cell>
          <cell r="G56">
            <v>8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 t="str">
            <v xml:space="preserve"> 2683 Plan:   515 000 26/04/02 14:24  DET  pro=044 FTH =CRL............CESSIONS....................</v>
          </cell>
          <cell r="E57">
            <v>0</v>
          </cell>
          <cell r="F57">
            <v>0</v>
          </cell>
          <cell r="G57">
            <v>0</v>
          </cell>
          <cell r="H57">
            <v>20</v>
          </cell>
          <cell r="I57">
            <v>21</v>
          </cell>
          <cell r="J57">
            <v>22</v>
          </cell>
          <cell r="K57">
            <v>27</v>
          </cell>
          <cell r="L57">
            <v>27</v>
          </cell>
          <cell r="M57">
            <v>27</v>
          </cell>
          <cell r="N57">
            <v>29</v>
          </cell>
          <cell r="O57">
            <v>31</v>
          </cell>
          <cell r="P57">
            <v>32</v>
          </cell>
        </row>
        <row r="58">
          <cell r="C58" t="str">
            <v xml:space="preserve"> 2684 Plan:   515 000 26/04/02 14:24  DET  pro=045 FTH =CRL............CESSIONS....................</v>
          </cell>
          <cell r="E58">
            <v>6</v>
          </cell>
          <cell r="F58">
            <v>13</v>
          </cell>
          <cell r="G58">
            <v>13</v>
          </cell>
          <cell r="H58">
            <v>6</v>
          </cell>
          <cell r="I58">
            <v>3</v>
          </cell>
          <cell r="J58">
            <v>3</v>
          </cell>
          <cell r="K58">
            <v>1</v>
          </cell>
          <cell r="L58">
            <v>0</v>
          </cell>
          <cell r="M58">
            <v>0</v>
          </cell>
          <cell r="N58">
            <v>6</v>
          </cell>
          <cell r="O58">
            <v>4</v>
          </cell>
          <cell r="P58">
            <v>0</v>
          </cell>
        </row>
        <row r="59">
          <cell r="C59" t="str">
            <v xml:space="preserve"> 2685 Plan:   515 000 26/04/02 14:24  DET  pro=047 FTH =CRL............CESSIONS....................</v>
          </cell>
          <cell r="E59">
            <v>70</v>
          </cell>
          <cell r="F59">
            <v>70</v>
          </cell>
          <cell r="G59">
            <v>70</v>
          </cell>
          <cell r="H59">
            <v>70</v>
          </cell>
          <cell r="I59">
            <v>70</v>
          </cell>
          <cell r="J59">
            <v>70</v>
          </cell>
          <cell r="K59">
            <v>70</v>
          </cell>
          <cell r="L59">
            <v>60</v>
          </cell>
          <cell r="M59">
            <v>70</v>
          </cell>
          <cell r="N59">
            <v>70</v>
          </cell>
          <cell r="O59">
            <v>70</v>
          </cell>
          <cell r="P59">
            <v>70</v>
          </cell>
        </row>
        <row r="60">
          <cell r="C60" t="str">
            <v xml:space="preserve"> 2686 Plan:   515 000 26/04/02 14:24  DET  pro=060 FTH =CRL............CESSIONS....................</v>
          </cell>
          <cell r="E60">
            <v>0</v>
          </cell>
          <cell r="F60">
            <v>9</v>
          </cell>
          <cell r="G60">
            <v>0</v>
          </cell>
          <cell r="H60">
            <v>9</v>
          </cell>
          <cell r="I60">
            <v>0</v>
          </cell>
          <cell r="J60">
            <v>0</v>
          </cell>
          <cell r="K60">
            <v>10</v>
          </cell>
          <cell r="L60">
            <v>0</v>
          </cell>
          <cell r="M60">
            <v>0</v>
          </cell>
          <cell r="N60">
            <v>10</v>
          </cell>
          <cell r="O60">
            <v>0</v>
          </cell>
          <cell r="P60">
            <v>0</v>
          </cell>
        </row>
        <row r="61">
          <cell r="C61" t="str">
            <v xml:space="preserve"> 2687 Plan:   515 000 26/04/02 14:24  DET  pro=061 FTH =CRL............CESSIONS....................</v>
          </cell>
          <cell r="E61">
            <v>0</v>
          </cell>
          <cell r="F61">
            <v>9</v>
          </cell>
          <cell r="G61">
            <v>0</v>
          </cell>
          <cell r="H61">
            <v>9</v>
          </cell>
          <cell r="I61">
            <v>0</v>
          </cell>
          <cell r="J61">
            <v>0</v>
          </cell>
          <cell r="K61">
            <v>10</v>
          </cell>
          <cell r="L61">
            <v>0</v>
          </cell>
          <cell r="M61">
            <v>0</v>
          </cell>
          <cell r="N61">
            <v>10</v>
          </cell>
          <cell r="O61">
            <v>0</v>
          </cell>
          <cell r="P61">
            <v>0</v>
          </cell>
        </row>
        <row r="62">
          <cell r="C62" t="str">
            <v xml:space="preserve"> 2688 Plan:   515 000 26/04/02 14:24  DET  pro=071 FTH =CRL............CESSIONS....................</v>
          </cell>
          <cell r="E62">
            <v>400</v>
          </cell>
          <cell r="F62">
            <v>400</v>
          </cell>
          <cell r="G62">
            <v>400</v>
          </cell>
          <cell r="H62">
            <v>400</v>
          </cell>
          <cell r="I62">
            <v>400</v>
          </cell>
          <cell r="J62">
            <v>400</v>
          </cell>
          <cell r="K62">
            <v>400</v>
          </cell>
          <cell r="L62">
            <v>400</v>
          </cell>
          <cell r="M62">
            <v>400</v>
          </cell>
          <cell r="N62">
            <v>400</v>
          </cell>
          <cell r="O62">
            <v>400</v>
          </cell>
          <cell r="P62">
            <v>400</v>
          </cell>
        </row>
        <row r="63">
          <cell r="C63" t="str">
            <v xml:space="preserve"> 2689 Plan:   515 000 26/04/02 14:24  DET  pro=072 FTH =CRL............CESSIONS....................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C64" t="str">
            <v xml:space="preserve"> 2690 Plan:   515 000 26/04/02 14:24  DET  pro=074 FTH =CRL............CESSIONS....................</v>
          </cell>
          <cell r="E64">
            <v>0</v>
          </cell>
          <cell r="F64">
            <v>0</v>
          </cell>
          <cell r="G64">
            <v>2</v>
          </cell>
          <cell r="H64">
            <v>6</v>
          </cell>
          <cell r="I64">
            <v>0</v>
          </cell>
          <cell r="J64">
            <v>0</v>
          </cell>
          <cell r="K64">
            <v>4</v>
          </cell>
          <cell r="L64">
            <v>0</v>
          </cell>
          <cell r="M64">
            <v>4</v>
          </cell>
          <cell r="N64">
            <v>2</v>
          </cell>
          <cell r="O64">
            <v>2</v>
          </cell>
          <cell r="P64">
            <v>0</v>
          </cell>
        </row>
        <row r="65">
          <cell r="C65" t="str">
            <v xml:space="preserve"> 2691 Plan:   515 000 26/04/02 14:24  DET  pro=075 FTH =CRL............CESSIONS....................</v>
          </cell>
          <cell r="E65">
            <v>0</v>
          </cell>
          <cell r="F65">
            <v>9</v>
          </cell>
          <cell r="G65">
            <v>0</v>
          </cell>
          <cell r="H65">
            <v>9</v>
          </cell>
          <cell r="I65">
            <v>0</v>
          </cell>
          <cell r="J65">
            <v>0</v>
          </cell>
          <cell r="K65">
            <v>11</v>
          </cell>
          <cell r="L65">
            <v>0</v>
          </cell>
          <cell r="M65">
            <v>0</v>
          </cell>
          <cell r="N65">
            <v>12</v>
          </cell>
          <cell r="O65">
            <v>0</v>
          </cell>
          <cell r="P65">
            <v>0</v>
          </cell>
        </row>
        <row r="66">
          <cell r="C66" t="str">
            <v xml:space="preserve"> 2692 Plan:   515 000 26/04/02 14:24  DET  pro=076 FTH =CRL............CESSIONS....................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2</v>
          </cell>
          <cell r="N66">
            <v>0</v>
          </cell>
          <cell r="O66">
            <v>2</v>
          </cell>
          <cell r="P66">
            <v>1</v>
          </cell>
        </row>
        <row r="67">
          <cell r="C67" t="str">
            <v xml:space="preserve"> 2693 Plan:   515 000 26/04/02 14:24  DET  pro=077 FTH =CRL............CESSIONS....................</v>
          </cell>
          <cell r="E67">
            <v>0</v>
          </cell>
          <cell r="F67">
            <v>2</v>
          </cell>
          <cell r="G67">
            <v>0</v>
          </cell>
          <cell r="H67">
            <v>0</v>
          </cell>
          <cell r="I67">
            <v>4</v>
          </cell>
          <cell r="J67">
            <v>0</v>
          </cell>
          <cell r="K67">
            <v>0</v>
          </cell>
          <cell r="L67">
            <v>0</v>
          </cell>
          <cell r="M67">
            <v>2</v>
          </cell>
          <cell r="N67">
            <v>0</v>
          </cell>
          <cell r="O67">
            <v>2</v>
          </cell>
          <cell r="P67">
            <v>0</v>
          </cell>
        </row>
        <row r="68">
          <cell r="C68" t="str">
            <v xml:space="preserve"> 2694 Plan:   515 000 26/04/02 14:24  DET  pro=078 FTH =CRL............CESSIONS....................</v>
          </cell>
          <cell r="E68">
            <v>4</v>
          </cell>
          <cell r="F68">
            <v>2</v>
          </cell>
          <cell r="G68">
            <v>0</v>
          </cell>
          <cell r="H68">
            <v>6</v>
          </cell>
          <cell r="I68">
            <v>2</v>
          </cell>
          <cell r="J68">
            <v>1</v>
          </cell>
          <cell r="K68">
            <v>1</v>
          </cell>
          <cell r="L68">
            <v>4</v>
          </cell>
          <cell r="M68">
            <v>1</v>
          </cell>
          <cell r="N68">
            <v>2</v>
          </cell>
          <cell r="O68">
            <v>3</v>
          </cell>
          <cell r="P68">
            <v>4</v>
          </cell>
        </row>
        <row r="69">
          <cell r="C69" t="str">
            <v xml:space="preserve"> 2695 Plan:   515 000 26/04/02 14:24  DET  pro=079 FTH =CRL............CESSIONS....................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C70" t="str">
            <v xml:space="preserve"> 2696 Plan:   515 000 26/04/02 14:24  DET  pro=953 FTH =CRL............CESSIONS....................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C71" t="str">
            <v xml:space="preserve"> 2697 Plan:   518 000 26/04/02 14:24  DET  pro=007 FTH =HSI............CESSIONS....................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C72" t="str">
            <v xml:space="preserve"> 2698 Plan:   518 000 26/04/02 14:24  DET  pro=049 FTH =HSI............CESSIONS....................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2</v>
          </cell>
          <cell r="J72">
            <v>0</v>
          </cell>
          <cell r="K72">
            <v>2</v>
          </cell>
          <cell r="L72">
            <v>0</v>
          </cell>
          <cell r="M72">
            <v>2</v>
          </cell>
          <cell r="N72">
            <v>0</v>
          </cell>
          <cell r="O72">
            <v>2</v>
          </cell>
          <cell r="P72">
            <v>3</v>
          </cell>
        </row>
        <row r="73">
          <cell r="C73" t="str">
            <v xml:space="preserve"> 2699 Plan:   518 000 26/04/02 14:24  DET  pro=050 FTH =HSI............CESSIONS....................</v>
          </cell>
          <cell r="E73">
            <v>0</v>
          </cell>
          <cell r="F73">
            <v>0</v>
          </cell>
          <cell r="G73">
            <v>0</v>
          </cell>
          <cell r="H73">
            <v>2</v>
          </cell>
          <cell r="I73">
            <v>3</v>
          </cell>
          <cell r="J73">
            <v>3</v>
          </cell>
          <cell r="K73">
            <v>0</v>
          </cell>
          <cell r="L73">
            <v>3</v>
          </cell>
          <cell r="M73">
            <v>3</v>
          </cell>
          <cell r="N73">
            <v>0</v>
          </cell>
          <cell r="O73">
            <v>4</v>
          </cell>
          <cell r="P73">
            <v>2</v>
          </cell>
        </row>
        <row r="74">
          <cell r="C74" t="str">
            <v xml:space="preserve"> 2700 Plan:   518 000 26/04/02 14:24  DET  pro=098 FTH =HSI............CESSIONS....................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C75" t="str">
            <v xml:space="preserve"> 2701 Plan:   518 000 26/04/02 14:24  DET  pro=220 FTH =HSI............CESSIONS....................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C76" t="str">
            <v xml:space="preserve"> 2702 Plan:   518 000 26/04/02 14:24  DET  pro=221 FTH =HSI............CESSIONS....................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C77" t="str">
            <v xml:space="preserve"> 2703 Plan:   518 000 26/04/02 14:24  DET  pro=50  FTH =HSI............CESSIONS....................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C78" t="str">
            <v xml:space="preserve"> 2704 Plan:   518 000 26/04/02 14:24  DET  pro=850 FTH =HSI............CESSIONS....................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</row>
        <row r="79">
          <cell r="C79" t="str">
            <v xml:space="preserve"> 2705 Plan:   518 000 26/04/02 14:24  DET  pro=854 FTH =HSI............CESSIONS....................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C80" t="str">
            <v xml:space="preserve"> 2706 Plan:   518 000 26/04/02 14:24  DET  pro=952 FTH =HSI............CESSIONS....................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C81" t="str">
            <v xml:space="preserve"> 2707 Plan:   518 000 26/04/02 14:24  DET  pro=954 FTH =HSI............CESSIONS....................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C82" t="str">
            <v xml:space="preserve"> 2708 Plan:   518 000 26/04/02 14:24  DET  pro=955 FTH =HSI............CESSIONS....................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</row>
        <row r="83">
          <cell r="C83" t="str">
            <v xml:space="preserve"> 2709 Plan:   518 000 26/04/02 14:24  DET  pro=956 FTH =HSI............CESSIONS....................</v>
          </cell>
          <cell r="E83">
            <v>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</row>
        <row r="84">
          <cell r="C84" t="str">
            <v xml:space="preserve"> 2710 Plan:   518 000 26/04/02 14:24  DET  pro=957 FTH =HSI............CESSIONS....................</v>
          </cell>
          <cell r="E84">
            <v>6</v>
          </cell>
          <cell r="F84">
            <v>6</v>
          </cell>
          <cell r="G84">
            <v>6</v>
          </cell>
          <cell r="H84">
            <v>6</v>
          </cell>
          <cell r="I84">
            <v>6</v>
          </cell>
          <cell r="J84">
            <v>6</v>
          </cell>
          <cell r="K84">
            <v>6</v>
          </cell>
          <cell r="L84">
            <v>2</v>
          </cell>
          <cell r="M84">
            <v>6</v>
          </cell>
          <cell r="N84">
            <v>6</v>
          </cell>
          <cell r="O84">
            <v>6</v>
          </cell>
          <cell r="P84">
            <v>6</v>
          </cell>
        </row>
        <row r="85">
          <cell r="C85" t="str">
            <v xml:space="preserve"> 2711 Plan:   518 000 26/04/02 14:24  DET  pro=958 FTH =HSI............CESSIONS....................</v>
          </cell>
          <cell r="E85">
            <v>13</v>
          </cell>
          <cell r="F85">
            <v>13</v>
          </cell>
          <cell r="G85">
            <v>13</v>
          </cell>
          <cell r="H85">
            <v>17</v>
          </cell>
          <cell r="I85">
            <v>13</v>
          </cell>
          <cell r="J85">
            <v>13</v>
          </cell>
          <cell r="K85">
            <v>13</v>
          </cell>
          <cell r="L85">
            <v>13</v>
          </cell>
          <cell r="M85">
            <v>13</v>
          </cell>
          <cell r="N85">
            <v>13</v>
          </cell>
          <cell r="O85">
            <v>13</v>
          </cell>
          <cell r="P85">
            <v>13</v>
          </cell>
        </row>
        <row r="86">
          <cell r="C86" t="str">
            <v xml:space="preserve"> 2712 Plan:   518 000 26/04/02 14:24  DET  pro=959 FTH =HSI............CESSIONS....................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</row>
        <row r="87">
          <cell r="C87" t="str">
            <v xml:space="preserve"> 2713 Plan:   521 000 26/04/02 14:24  DET  pro=398 FTH =PED............CESSIONS....................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 xml:space="preserve"> 2714 Plan:   521 000 26/04/02 14:24  DET  pro=400 FTH =PED............CESSIONS....................</v>
          </cell>
          <cell r="E88">
            <v>2</v>
          </cell>
          <cell r="F88">
            <v>0</v>
          </cell>
          <cell r="G88">
            <v>2</v>
          </cell>
          <cell r="H88">
            <v>2</v>
          </cell>
          <cell r="I88">
            <v>2</v>
          </cell>
          <cell r="J88">
            <v>4</v>
          </cell>
          <cell r="K88">
            <v>2</v>
          </cell>
          <cell r="L88">
            <v>0</v>
          </cell>
          <cell r="M88">
            <v>3</v>
          </cell>
          <cell r="N88">
            <v>0</v>
          </cell>
          <cell r="O88">
            <v>2</v>
          </cell>
          <cell r="P88">
            <v>0</v>
          </cell>
        </row>
        <row r="89">
          <cell r="C89" t="str">
            <v xml:space="preserve"> 2715 Plan:   521 000 26/04/02 14:24  DET  pro=401 FTH =PED............CESSIONS....................</v>
          </cell>
          <cell r="E89">
            <v>0</v>
          </cell>
          <cell r="F89">
            <v>12</v>
          </cell>
          <cell r="G89">
            <v>12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12</v>
          </cell>
          <cell r="N89">
            <v>12</v>
          </cell>
          <cell r="O89">
            <v>24</v>
          </cell>
          <cell r="P89">
            <v>12</v>
          </cell>
        </row>
        <row r="90">
          <cell r="C90" t="str">
            <v xml:space="preserve"> 2716 Plan:   521 000 26/04/02 14:24  DET  pro=410 FTH =PED............CESSIONS....................</v>
          </cell>
          <cell r="E90">
            <v>10</v>
          </cell>
          <cell r="F90">
            <v>10</v>
          </cell>
          <cell r="G90">
            <v>10</v>
          </cell>
          <cell r="H90">
            <v>10</v>
          </cell>
          <cell r="I90">
            <v>10</v>
          </cell>
          <cell r="J90">
            <v>10</v>
          </cell>
          <cell r="K90">
            <v>10</v>
          </cell>
          <cell r="L90">
            <v>0</v>
          </cell>
          <cell r="M90">
            <v>10</v>
          </cell>
          <cell r="N90">
            <v>10</v>
          </cell>
          <cell r="O90">
            <v>10</v>
          </cell>
          <cell r="P90">
            <v>10</v>
          </cell>
        </row>
        <row r="91">
          <cell r="C91" t="str">
            <v xml:space="preserve"> 2717 Plan:   522 000 26/04/02 14:24  DET  pro=950 FTH =RSE............CESSIONS....................</v>
          </cell>
          <cell r="E91">
            <v>1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0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</row>
        <row r="92">
          <cell r="C92" t="str">
            <v xml:space="preserve"> 2718 Plan:   523 000 26/04/02 14:24  DET  pro=099 FTH =SSR............CESSIONS....................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C93" t="str">
            <v xml:space="preserve"> 2719 Plan:   523 000 26/04/02 14:24  DET  pro=100 FTH =SSR............CESSIONS....................</v>
          </cell>
          <cell r="E93">
            <v>0</v>
          </cell>
          <cell r="F93">
            <v>104</v>
          </cell>
          <cell r="G93">
            <v>100</v>
          </cell>
          <cell r="H93">
            <v>96</v>
          </cell>
          <cell r="I93">
            <v>84</v>
          </cell>
          <cell r="J93">
            <v>87</v>
          </cell>
          <cell r="K93">
            <v>63</v>
          </cell>
          <cell r="L93">
            <v>80</v>
          </cell>
          <cell r="M93">
            <v>80</v>
          </cell>
          <cell r="N93">
            <v>91</v>
          </cell>
          <cell r="O93">
            <v>90</v>
          </cell>
          <cell r="P93">
            <v>69</v>
          </cell>
        </row>
        <row r="94">
          <cell r="C94" t="str">
            <v xml:space="preserve"> 2720 Plan:   523 000 26/04/02 14:24  DET  pro=101 FTH =SSR............CESSIONS....................</v>
          </cell>
          <cell r="E94">
            <v>0</v>
          </cell>
          <cell r="F94">
            <v>22</v>
          </cell>
          <cell r="G94">
            <v>19</v>
          </cell>
          <cell r="H94">
            <v>4</v>
          </cell>
          <cell r="I94">
            <v>0</v>
          </cell>
          <cell r="J94">
            <v>12</v>
          </cell>
          <cell r="K94">
            <v>14</v>
          </cell>
          <cell r="L94">
            <v>13</v>
          </cell>
          <cell r="M94">
            <v>23</v>
          </cell>
          <cell r="N94">
            <v>21</v>
          </cell>
          <cell r="O94">
            <v>19</v>
          </cell>
          <cell r="P94">
            <v>15</v>
          </cell>
        </row>
        <row r="95">
          <cell r="C95" t="str">
            <v xml:space="preserve"> 2721 Plan:   523 000 26/04/02 14:24  DET  pro=102 FTH =SSR............CESSIONS....................</v>
          </cell>
          <cell r="E95">
            <v>1</v>
          </cell>
          <cell r="F95">
            <v>12</v>
          </cell>
          <cell r="G95">
            <v>7</v>
          </cell>
          <cell r="H95">
            <v>4</v>
          </cell>
          <cell r="I95">
            <v>7</v>
          </cell>
          <cell r="J95">
            <v>3</v>
          </cell>
          <cell r="K95">
            <v>4</v>
          </cell>
          <cell r="L95">
            <v>4</v>
          </cell>
          <cell r="M95">
            <v>3</v>
          </cell>
          <cell r="N95">
            <v>3</v>
          </cell>
          <cell r="O95">
            <v>2</v>
          </cell>
          <cell r="P95">
            <v>1</v>
          </cell>
        </row>
        <row r="96">
          <cell r="C96" t="str">
            <v xml:space="preserve"> 2722 Plan:   523 000 26/04/02 14:24  DET  pro=150 FTH =SSR............CESSIONS....................</v>
          </cell>
          <cell r="E96">
            <v>0</v>
          </cell>
          <cell r="F96">
            <v>5</v>
          </cell>
          <cell r="G96">
            <v>4</v>
          </cell>
          <cell r="H96">
            <v>9</v>
          </cell>
          <cell r="I96">
            <v>4</v>
          </cell>
          <cell r="J96">
            <v>1</v>
          </cell>
          <cell r="K96">
            <v>4</v>
          </cell>
          <cell r="L96">
            <v>4</v>
          </cell>
          <cell r="M96">
            <v>3</v>
          </cell>
          <cell r="N96">
            <v>2</v>
          </cell>
          <cell r="O96">
            <v>2</v>
          </cell>
          <cell r="P96">
            <v>5</v>
          </cell>
        </row>
        <row r="97">
          <cell r="C97" t="str">
            <v xml:space="preserve"> 2723 Plan:   523 000 26/04/02 14:24  DET  pro=155 FTH =SSR............CESSIONS....................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C98" t="str">
            <v xml:space="preserve"> 2724 Plan:   524 000 26/04/02 14:24  DET  pro=806 FTH =SUP............CESSIONS....................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1</v>
          </cell>
        </row>
        <row r="99">
          <cell r="C99" t="str">
            <v xml:space="preserve"> 2725 Plan:   524 000 26/04/02 14:24  DET  pro=852 FTH =SUP............CESSIONS....................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C100" t="str">
            <v xml:space="preserve"> 2726 Plan:   524 000 26/04/02 14:24  DET  pro=855 FTH =SUP............CESSIONS....................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C101" t="str">
            <v xml:space="preserve"> 2727 Plan:   517 000 26/04/02 14:24  DET  pro=171 FTH =EXT............CESSIONS....................</v>
          </cell>
          <cell r="E101">
            <v>0</v>
          </cell>
          <cell r="F101">
            <v>12</v>
          </cell>
          <cell r="G101">
            <v>12</v>
          </cell>
          <cell r="H101">
            <v>12</v>
          </cell>
          <cell r="I101">
            <v>12</v>
          </cell>
          <cell r="J101">
            <v>12</v>
          </cell>
          <cell r="K101">
            <v>12</v>
          </cell>
          <cell r="L101">
            <v>4</v>
          </cell>
          <cell r="M101">
            <v>12</v>
          </cell>
          <cell r="N101">
            <v>12</v>
          </cell>
          <cell r="O101">
            <v>12</v>
          </cell>
          <cell r="P101">
            <v>12</v>
          </cell>
        </row>
        <row r="137">
          <cell r="C137" t="str">
            <v>REQUETES CESSION 512 à 524 ( Valeurs  $)</v>
          </cell>
        </row>
        <row r="138">
          <cell r="C138" t="str">
            <v xml:space="preserve"> 4122 Plan:   512 000 26/04/02 15:19  DET  pro=300 FTH =ALI............CESSIONS....................</v>
          </cell>
          <cell r="E138">
            <v>0</v>
          </cell>
          <cell r="F138">
            <v>24284</v>
          </cell>
          <cell r="G138">
            <v>14010</v>
          </cell>
          <cell r="H138">
            <v>0</v>
          </cell>
          <cell r="I138">
            <v>0</v>
          </cell>
          <cell r="J138">
            <v>5604</v>
          </cell>
          <cell r="K138">
            <v>2802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C139" t="str">
            <v xml:space="preserve"> 4123 Plan:   512 000 26/04/02 15:19  DET  pro=301 FTH =ALI............CESSIONS....................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C140" t="str">
            <v xml:space="preserve"> 4124 Plan:   512 000 26/04/02 15:19  DET  pro=305 FTH =ALI............CESSIONS....................</v>
          </cell>
          <cell r="E140">
            <v>98628</v>
          </cell>
          <cell r="F140">
            <v>87670</v>
          </cell>
          <cell r="G140">
            <v>131505</v>
          </cell>
          <cell r="H140">
            <v>100272</v>
          </cell>
          <cell r="I140">
            <v>109587</v>
          </cell>
          <cell r="J140">
            <v>198901</v>
          </cell>
          <cell r="K140">
            <v>155614</v>
          </cell>
          <cell r="L140">
            <v>79451</v>
          </cell>
          <cell r="M140">
            <v>144107</v>
          </cell>
          <cell r="N140">
            <v>144655</v>
          </cell>
          <cell r="O140">
            <v>100820</v>
          </cell>
          <cell r="P140">
            <v>122738</v>
          </cell>
        </row>
        <row r="141">
          <cell r="C141" t="str">
            <v xml:space="preserve"> 4125 Plan:   512 000 26/04/02 15:19  DET  pro=306 FTH =ALI............CESSIONS....................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C142" t="str">
            <v xml:space="preserve"> 4126 Plan:   512 000 26/04/02 15:19  DET  pro=307 FTH =ALI............CESSIONS....................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C143" t="str">
            <v xml:space="preserve"> 4127 Plan:   512 000 26/04/02 15:19  DET  pro=310 FTH =ALI............CESSIONS....................</v>
          </cell>
          <cell r="E143">
            <v>7048</v>
          </cell>
          <cell r="F143">
            <v>10572</v>
          </cell>
          <cell r="G143">
            <v>881</v>
          </cell>
          <cell r="H143">
            <v>0</v>
          </cell>
          <cell r="I143">
            <v>4405</v>
          </cell>
          <cell r="J143">
            <v>4405</v>
          </cell>
          <cell r="K143">
            <v>0</v>
          </cell>
          <cell r="L143">
            <v>4405</v>
          </cell>
          <cell r="M143">
            <v>4405</v>
          </cell>
          <cell r="N143">
            <v>4405</v>
          </cell>
          <cell r="O143">
            <v>0</v>
          </cell>
          <cell r="P143">
            <v>4405</v>
          </cell>
        </row>
        <row r="144">
          <cell r="C144" t="str">
            <v xml:space="preserve"> 4128 Plan:   512 000 26/04/02 15:19  DET  pro=311 FTH =ALI............CESSIONS....................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C145" t="str">
            <v xml:space="preserve"> 4129 Plan:   512 000 26/04/02 15:19  DET  pro=312 FTH =ALI............CESSIONS....................</v>
          </cell>
          <cell r="E145">
            <v>0</v>
          </cell>
          <cell r="F145">
            <v>8316</v>
          </cell>
          <cell r="G145">
            <v>0</v>
          </cell>
          <cell r="H145">
            <v>9702</v>
          </cell>
          <cell r="I145">
            <v>5544</v>
          </cell>
          <cell r="J145">
            <v>1386</v>
          </cell>
          <cell r="K145">
            <v>12474</v>
          </cell>
          <cell r="L145">
            <v>0</v>
          </cell>
          <cell r="M145">
            <v>8316</v>
          </cell>
          <cell r="N145">
            <v>4158</v>
          </cell>
          <cell r="O145">
            <v>0</v>
          </cell>
          <cell r="P145">
            <v>12474</v>
          </cell>
        </row>
        <row r="146">
          <cell r="C146" t="str">
            <v xml:space="preserve"> 4130 Plan:   512 000 26/04/02 15:19  DET  pro=315 FTH =ALI............CESSIONS....................</v>
          </cell>
          <cell r="E146">
            <v>16300</v>
          </cell>
          <cell r="F146">
            <v>17930</v>
          </cell>
          <cell r="G146">
            <v>24450</v>
          </cell>
          <cell r="H146">
            <v>16300</v>
          </cell>
          <cell r="I146">
            <v>0</v>
          </cell>
          <cell r="J146">
            <v>24450</v>
          </cell>
          <cell r="K146">
            <v>16300</v>
          </cell>
          <cell r="L146">
            <v>0</v>
          </cell>
          <cell r="M146">
            <v>16300</v>
          </cell>
          <cell r="N146">
            <v>8150</v>
          </cell>
          <cell r="O146">
            <v>8150</v>
          </cell>
          <cell r="P146">
            <v>8150</v>
          </cell>
        </row>
        <row r="147">
          <cell r="C147" t="str">
            <v xml:space="preserve"> 4131 Plan:   512 000 26/04/02 15:19  DET  pro=320 FTH =ALI............CESSIONS....................</v>
          </cell>
          <cell r="E147">
            <v>20587</v>
          </cell>
          <cell r="F147">
            <v>3633</v>
          </cell>
          <cell r="G147">
            <v>1211</v>
          </cell>
          <cell r="H147">
            <v>24220</v>
          </cell>
          <cell r="I147">
            <v>12110</v>
          </cell>
          <cell r="J147">
            <v>12110</v>
          </cell>
          <cell r="K147">
            <v>24220</v>
          </cell>
          <cell r="L147">
            <v>12110</v>
          </cell>
          <cell r="M147">
            <v>13321</v>
          </cell>
          <cell r="N147">
            <v>24220</v>
          </cell>
          <cell r="O147">
            <v>0</v>
          </cell>
          <cell r="P147">
            <v>24220</v>
          </cell>
        </row>
        <row r="148">
          <cell r="C148" t="str">
            <v xml:space="preserve"> 4132 Plan:   512 000 26/04/02 15:19  DET  pro=325 FTH =ALI............CESSIONS....................</v>
          </cell>
          <cell r="E148">
            <v>52103</v>
          </cell>
          <cell r="F148">
            <v>95274</v>
          </cell>
          <cell r="G148">
            <v>89320</v>
          </cell>
          <cell r="H148">
            <v>122070</v>
          </cell>
          <cell r="I148">
            <v>44660</v>
          </cell>
          <cell r="J148">
            <v>90808</v>
          </cell>
          <cell r="K148">
            <v>105695</v>
          </cell>
          <cell r="L148">
            <v>1489</v>
          </cell>
          <cell r="M148">
            <v>135468</v>
          </cell>
          <cell r="N148">
            <v>105695</v>
          </cell>
          <cell r="O148">
            <v>1489</v>
          </cell>
          <cell r="P148">
            <v>90808</v>
          </cell>
        </row>
        <row r="149">
          <cell r="C149" t="str">
            <v xml:space="preserve"> 4133 Plan:   512 000 26/04/02 15:19  DET  pro=330 FTH =ALI............CESSIONS....................</v>
          </cell>
          <cell r="E149">
            <v>4170</v>
          </cell>
          <cell r="F149">
            <v>6950</v>
          </cell>
          <cell r="G149">
            <v>0</v>
          </cell>
          <cell r="H149">
            <v>4170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2780</v>
          </cell>
          <cell r="O149">
            <v>0</v>
          </cell>
          <cell r="P149">
            <v>0</v>
          </cell>
        </row>
        <row r="150">
          <cell r="C150" t="str">
            <v xml:space="preserve"> 4134 Plan:   512 000 26/04/02 15:19  DET  pro=331 FTH =ALI............CESSIONS....................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C151" t="str">
            <v xml:space="preserve"> 4135 Plan:   512 000 26/04/02 15:19  DET  pro=340 FTH =ALI............CESSIONS....................</v>
          </cell>
          <cell r="E151">
            <v>18954</v>
          </cell>
          <cell r="F151">
            <v>29160</v>
          </cell>
          <cell r="G151">
            <v>29160</v>
          </cell>
          <cell r="H151">
            <v>29160</v>
          </cell>
          <cell r="I151">
            <v>0</v>
          </cell>
          <cell r="J151">
            <v>0</v>
          </cell>
          <cell r="K151">
            <v>0</v>
          </cell>
          <cell r="L151">
            <v>14580</v>
          </cell>
          <cell r="M151">
            <v>43740</v>
          </cell>
          <cell r="N151">
            <v>43740</v>
          </cell>
          <cell r="O151">
            <v>0</v>
          </cell>
          <cell r="P151">
            <v>0</v>
          </cell>
        </row>
        <row r="152">
          <cell r="C152" t="str">
            <v xml:space="preserve"> 4136 Plan:   512 000 26/04/02 15:19  DET  pro=345 FTH =ALI............CESSIONS....................</v>
          </cell>
          <cell r="E152">
            <v>11980</v>
          </cell>
          <cell r="F152">
            <v>0</v>
          </cell>
          <cell r="G152">
            <v>5990</v>
          </cell>
          <cell r="H152">
            <v>5990</v>
          </cell>
          <cell r="I152">
            <v>5990</v>
          </cell>
          <cell r="J152">
            <v>0</v>
          </cell>
          <cell r="K152">
            <v>0</v>
          </cell>
          <cell r="L152">
            <v>5990</v>
          </cell>
          <cell r="M152">
            <v>5990</v>
          </cell>
          <cell r="N152">
            <v>0</v>
          </cell>
          <cell r="O152">
            <v>0</v>
          </cell>
          <cell r="P152">
            <v>11980</v>
          </cell>
        </row>
        <row r="153">
          <cell r="C153" t="str">
            <v xml:space="preserve"> 4137 Plan:   513 000 26/04/02 15:19  DET  pro=012 FTH =ATR............CESSIONS....................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28800</v>
          </cell>
          <cell r="M153">
            <v>0</v>
          </cell>
          <cell r="N153">
            <v>7200</v>
          </cell>
          <cell r="O153">
            <v>10800</v>
          </cell>
          <cell r="P153">
            <v>10800</v>
          </cell>
        </row>
        <row r="154">
          <cell r="C154" t="str">
            <v xml:space="preserve"> 4138 Plan:   513 000 26/04/02 15:19  DET  pro=013 FTH =ATR............CESSIONS....................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13928</v>
          </cell>
          <cell r="M154">
            <v>0</v>
          </cell>
          <cell r="N154">
            <v>3482</v>
          </cell>
          <cell r="O154">
            <v>5223</v>
          </cell>
          <cell r="P154">
            <v>5223</v>
          </cell>
        </row>
        <row r="155">
          <cell r="C155" t="str">
            <v xml:space="preserve"> 4139 Plan:   513 000 26/04/02 15:19  DET  pro=014 FTH =ATR............CESSIONS....................</v>
          </cell>
          <cell r="E155">
            <v>0</v>
          </cell>
          <cell r="F155">
            <v>5500</v>
          </cell>
          <cell r="G155">
            <v>0</v>
          </cell>
          <cell r="H155">
            <v>5500</v>
          </cell>
          <cell r="I155">
            <v>0</v>
          </cell>
          <cell r="J155">
            <v>0</v>
          </cell>
          <cell r="K155">
            <v>0</v>
          </cell>
          <cell r="L155">
            <v>5500</v>
          </cell>
          <cell r="M155">
            <v>11000</v>
          </cell>
          <cell r="N155">
            <v>16500</v>
          </cell>
          <cell r="O155">
            <v>16500</v>
          </cell>
          <cell r="P155">
            <v>16500</v>
          </cell>
        </row>
        <row r="156">
          <cell r="C156" t="str">
            <v xml:space="preserve"> 4140 Plan:   513 000 26/04/02 15:19  DET  pro=015 FTH =ATR............CESSIONS....................</v>
          </cell>
          <cell r="E156">
            <v>0</v>
          </cell>
          <cell r="F156">
            <v>0</v>
          </cell>
          <cell r="G156">
            <v>0</v>
          </cell>
          <cell r="H156">
            <v>5500</v>
          </cell>
          <cell r="I156">
            <v>0</v>
          </cell>
          <cell r="J156">
            <v>0</v>
          </cell>
          <cell r="K156">
            <v>0</v>
          </cell>
          <cell r="L156">
            <v>5500</v>
          </cell>
          <cell r="M156">
            <v>11000</v>
          </cell>
          <cell r="N156">
            <v>16500</v>
          </cell>
          <cell r="O156">
            <v>16500</v>
          </cell>
          <cell r="P156">
            <v>16500</v>
          </cell>
        </row>
        <row r="157">
          <cell r="C157" t="str">
            <v xml:space="preserve"> 4141 Plan:   513 000 26/04/02 15:19  DET  pro=016 FTH =ATR............CESSIONS....................</v>
          </cell>
          <cell r="E157">
            <v>0</v>
          </cell>
          <cell r="F157">
            <v>5500</v>
          </cell>
          <cell r="G157">
            <v>0</v>
          </cell>
          <cell r="H157">
            <v>5500</v>
          </cell>
          <cell r="I157">
            <v>0</v>
          </cell>
          <cell r="J157">
            <v>0</v>
          </cell>
          <cell r="K157">
            <v>0</v>
          </cell>
          <cell r="L157">
            <v>5500</v>
          </cell>
          <cell r="M157">
            <v>11000</v>
          </cell>
          <cell r="N157">
            <v>16500</v>
          </cell>
          <cell r="O157">
            <v>16500</v>
          </cell>
          <cell r="P157">
            <v>16500</v>
          </cell>
        </row>
        <row r="158">
          <cell r="C158" t="str">
            <v xml:space="preserve"> 4142 Plan:   513 000 26/04/02 15:19  DET  pro=018 FTH =ATR............CESSIONS....................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C159" t="str">
            <v xml:space="preserve"> 4143 Plan:   513 000 26/04/02 15:19  DET  pro=198 FTH =ATR............CESSIONS....................</v>
          </cell>
          <cell r="E159">
            <v>6444</v>
          </cell>
          <cell r="F159">
            <v>4833</v>
          </cell>
          <cell r="G159">
            <v>19332</v>
          </cell>
          <cell r="H159">
            <v>16110</v>
          </cell>
          <cell r="I159">
            <v>0</v>
          </cell>
          <cell r="J159">
            <v>6444</v>
          </cell>
          <cell r="K159">
            <v>4833</v>
          </cell>
          <cell r="L159">
            <v>1611</v>
          </cell>
          <cell r="M159">
            <v>6444</v>
          </cell>
          <cell r="N159">
            <v>6444</v>
          </cell>
          <cell r="O159">
            <v>6444</v>
          </cell>
          <cell r="P159">
            <v>6444</v>
          </cell>
        </row>
        <row r="160">
          <cell r="C160" t="str">
            <v xml:space="preserve"> 4144 Plan:   513 000 26/04/02 15:19  DET  pro=199 FTH =ATR............CESSIONS....................</v>
          </cell>
          <cell r="E160">
            <v>0</v>
          </cell>
          <cell r="F160">
            <v>0</v>
          </cell>
          <cell r="G160">
            <v>0</v>
          </cell>
          <cell r="H160">
            <v>20122</v>
          </cell>
          <cell r="I160">
            <v>15091</v>
          </cell>
          <cell r="J160">
            <v>0</v>
          </cell>
          <cell r="K160">
            <v>20122</v>
          </cell>
          <cell r="L160">
            <v>10061</v>
          </cell>
          <cell r="M160">
            <v>5030</v>
          </cell>
          <cell r="N160">
            <v>0</v>
          </cell>
          <cell r="O160">
            <v>20122</v>
          </cell>
          <cell r="P160">
            <v>5030</v>
          </cell>
        </row>
        <row r="161">
          <cell r="C161" t="str">
            <v xml:space="preserve"> 4145 Plan:   513 000 26/04/02 15:19  DET  pro=200 FTH =ATR............CESSIONS....................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28664</v>
          </cell>
          <cell r="O161">
            <v>28664</v>
          </cell>
          <cell r="P161">
            <v>28664</v>
          </cell>
        </row>
        <row r="162">
          <cell r="C162" t="str">
            <v xml:space="preserve"> 4146 Plan:   513 000 26/04/02 15:19  DET  pro=201 FTH =ATR............CESSIONS....................</v>
          </cell>
          <cell r="E162">
            <v>20360</v>
          </cell>
          <cell r="F162">
            <v>30540</v>
          </cell>
          <cell r="G162">
            <v>79404</v>
          </cell>
          <cell r="H162">
            <v>59044</v>
          </cell>
          <cell r="I162">
            <v>44792</v>
          </cell>
          <cell r="J162">
            <v>54972</v>
          </cell>
          <cell r="K162">
            <v>38684</v>
          </cell>
          <cell r="L162">
            <v>34612</v>
          </cell>
          <cell r="M162">
            <v>44792</v>
          </cell>
          <cell r="N162">
            <v>24432</v>
          </cell>
          <cell r="O162">
            <v>40720</v>
          </cell>
          <cell r="P162">
            <v>14252</v>
          </cell>
        </row>
        <row r="163">
          <cell r="C163" t="str">
            <v xml:space="preserve"> 4147 Plan:   513 000 26/04/02 15:19  DET  pro=202 FTH =ATR............CESSIONS....................</v>
          </cell>
          <cell r="E163">
            <v>0</v>
          </cell>
          <cell r="F163">
            <v>4150</v>
          </cell>
          <cell r="G163">
            <v>12450</v>
          </cell>
          <cell r="H163">
            <v>16600</v>
          </cell>
          <cell r="I163">
            <v>0</v>
          </cell>
          <cell r="J163">
            <v>24900</v>
          </cell>
          <cell r="K163">
            <v>8300</v>
          </cell>
          <cell r="L163">
            <v>0</v>
          </cell>
          <cell r="M163">
            <v>8300</v>
          </cell>
          <cell r="N163">
            <v>0</v>
          </cell>
          <cell r="O163">
            <v>41500</v>
          </cell>
          <cell r="P163">
            <v>0</v>
          </cell>
        </row>
        <row r="164">
          <cell r="C164" t="str">
            <v xml:space="preserve"> 4148 Plan:   513 000 26/04/02 15:19  DET  pro=203 FTH =ATR............CESSIONS....................</v>
          </cell>
          <cell r="E164">
            <v>0</v>
          </cell>
          <cell r="F164">
            <v>3190</v>
          </cell>
          <cell r="G164">
            <v>73370</v>
          </cell>
          <cell r="H164">
            <v>9570</v>
          </cell>
          <cell r="I164">
            <v>0</v>
          </cell>
          <cell r="J164">
            <v>6380</v>
          </cell>
          <cell r="K164">
            <v>12760</v>
          </cell>
          <cell r="L164">
            <v>12760</v>
          </cell>
          <cell r="M164">
            <v>12760</v>
          </cell>
          <cell r="N164">
            <v>9570</v>
          </cell>
          <cell r="O164">
            <v>0</v>
          </cell>
          <cell r="P164">
            <v>9570</v>
          </cell>
        </row>
        <row r="165">
          <cell r="C165" t="str">
            <v xml:space="preserve"> 4149 Plan:   513 000 26/04/02 15:19  DET  pro=204 FTH =ATR............CESSIONS....................</v>
          </cell>
          <cell r="E165">
            <v>0</v>
          </cell>
          <cell r="F165">
            <v>1211</v>
          </cell>
          <cell r="G165">
            <v>19376</v>
          </cell>
          <cell r="H165">
            <v>8477</v>
          </cell>
          <cell r="I165">
            <v>10899</v>
          </cell>
          <cell r="J165">
            <v>9688</v>
          </cell>
          <cell r="K165">
            <v>2422</v>
          </cell>
          <cell r="L165">
            <v>0</v>
          </cell>
          <cell r="M165">
            <v>0</v>
          </cell>
          <cell r="N165">
            <v>3633</v>
          </cell>
          <cell r="O165">
            <v>10899</v>
          </cell>
          <cell r="P165">
            <v>7266</v>
          </cell>
        </row>
        <row r="166">
          <cell r="C166" t="str">
            <v xml:space="preserve"> 4150 Plan:   513 000 26/04/02 15:19  DET  pro=205 FTH =ATR............CESSIONS....................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4748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9496</v>
          </cell>
          <cell r="P166">
            <v>4748</v>
          </cell>
        </row>
        <row r="167">
          <cell r="C167" t="str">
            <v xml:space="preserve"> 4151 Plan:   513 000 26/04/02 15:19  DET  pro=206 FTH =ATR............CESSIONS....................</v>
          </cell>
          <cell r="E167">
            <v>0</v>
          </cell>
          <cell r="F167">
            <v>0</v>
          </cell>
          <cell r="G167">
            <v>20153</v>
          </cell>
          <cell r="H167">
            <v>23032</v>
          </cell>
          <cell r="I167">
            <v>0</v>
          </cell>
          <cell r="J167">
            <v>0</v>
          </cell>
          <cell r="K167">
            <v>0</v>
          </cell>
          <cell r="L167">
            <v>14395</v>
          </cell>
          <cell r="M167">
            <v>17274</v>
          </cell>
          <cell r="N167">
            <v>20153</v>
          </cell>
          <cell r="O167">
            <v>17274</v>
          </cell>
          <cell r="P167">
            <v>0</v>
          </cell>
        </row>
        <row r="168">
          <cell r="C168" t="str">
            <v xml:space="preserve"> 4152 Plan:   513 000 26/04/02 15:19  DET  pro=207 FTH =ATR............CESSIONS....................</v>
          </cell>
          <cell r="E168">
            <v>0</v>
          </cell>
          <cell r="F168">
            <v>2744</v>
          </cell>
          <cell r="G168">
            <v>32928</v>
          </cell>
          <cell r="H168">
            <v>5488</v>
          </cell>
          <cell r="I168">
            <v>0</v>
          </cell>
          <cell r="J168">
            <v>0</v>
          </cell>
          <cell r="K168">
            <v>10976</v>
          </cell>
          <cell r="L168">
            <v>16464</v>
          </cell>
          <cell r="M168">
            <v>10976</v>
          </cell>
          <cell r="N168">
            <v>10976</v>
          </cell>
          <cell r="O168">
            <v>16464</v>
          </cell>
          <cell r="P168">
            <v>8232</v>
          </cell>
        </row>
        <row r="169">
          <cell r="C169" t="str">
            <v xml:space="preserve"> 4153 Plan:   513 000 26/04/02 15:19  DET  pro=208 FTH =ATR............CESSIONS....................</v>
          </cell>
          <cell r="E169">
            <v>0</v>
          </cell>
          <cell r="F169">
            <v>0</v>
          </cell>
          <cell r="G169">
            <v>43997</v>
          </cell>
          <cell r="H169">
            <v>0</v>
          </cell>
          <cell r="I169">
            <v>8799</v>
          </cell>
          <cell r="J169">
            <v>21998</v>
          </cell>
          <cell r="K169">
            <v>4400</v>
          </cell>
          <cell r="L169">
            <v>30798</v>
          </cell>
          <cell r="M169">
            <v>8799</v>
          </cell>
          <cell r="N169">
            <v>21998</v>
          </cell>
          <cell r="O169">
            <v>4400</v>
          </cell>
          <cell r="P169">
            <v>17599</v>
          </cell>
        </row>
        <row r="170">
          <cell r="C170" t="str">
            <v xml:space="preserve"> 4154 Plan:   513 000 26/04/02 15:19  DET  pro=209 FTH =ATR............CESSIONS....................</v>
          </cell>
          <cell r="E170">
            <v>0</v>
          </cell>
          <cell r="F170">
            <v>7028</v>
          </cell>
          <cell r="G170">
            <v>6024</v>
          </cell>
          <cell r="H170">
            <v>5020</v>
          </cell>
          <cell r="I170">
            <v>4016</v>
          </cell>
          <cell r="J170">
            <v>4016</v>
          </cell>
          <cell r="K170">
            <v>4016</v>
          </cell>
          <cell r="L170">
            <v>6024</v>
          </cell>
          <cell r="M170">
            <v>4016</v>
          </cell>
          <cell r="N170">
            <v>4016</v>
          </cell>
          <cell r="O170">
            <v>4016</v>
          </cell>
          <cell r="P170">
            <v>3012</v>
          </cell>
        </row>
        <row r="171">
          <cell r="C171" t="str">
            <v xml:space="preserve"> 4155 Plan:   513 000 26/04/02 15:19  DET  pro=213 FTH =ATR............CESSIONS....................</v>
          </cell>
          <cell r="E171">
            <v>0</v>
          </cell>
          <cell r="F171">
            <v>0</v>
          </cell>
          <cell r="G171">
            <v>5758</v>
          </cell>
          <cell r="H171">
            <v>17275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2879</v>
          </cell>
          <cell r="O171">
            <v>2879</v>
          </cell>
          <cell r="P171">
            <v>0</v>
          </cell>
        </row>
        <row r="172">
          <cell r="C172" t="str">
            <v xml:space="preserve"> 4156 Plan:   513 000 26/04/02 15:19  DET  pro=214 FTH =ATR............CESSIONS....................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10801</v>
          </cell>
          <cell r="O172">
            <v>0</v>
          </cell>
          <cell r="P172">
            <v>0</v>
          </cell>
        </row>
        <row r="173">
          <cell r="C173" t="str">
            <v xml:space="preserve"> 4157 Plan:   513 000 26/04/02 15:19  DET  pro=215 FTH =ATR............CESSIONS....................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5224</v>
          </cell>
          <cell r="O173">
            <v>0</v>
          </cell>
          <cell r="P173">
            <v>0</v>
          </cell>
        </row>
        <row r="174">
          <cell r="C174" t="str">
            <v xml:space="preserve"> 4158 Plan:   513 000 26/04/02 15:19  DET  pro=218 FTH =ATR............CESSIONS....................</v>
          </cell>
          <cell r="E174">
            <v>0</v>
          </cell>
          <cell r="F174">
            <v>0</v>
          </cell>
          <cell r="G174">
            <v>8422</v>
          </cell>
          <cell r="H174">
            <v>8422</v>
          </cell>
          <cell r="I174">
            <v>8422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8422</v>
          </cell>
          <cell r="O174">
            <v>8422</v>
          </cell>
          <cell r="P174">
            <v>0</v>
          </cell>
        </row>
        <row r="175">
          <cell r="C175" t="str">
            <v xml:space="preserve"> 4159 Plan:   513 000 26/04/02 15:19  DET  pro=219 FTH =ATR............CESSIONS....................</v>
          </cell>
          <cell r="E175">
            <v>0</v>
          </cell>
          <cell r="F175">
            <v>0</v>
          </cell>
          <cell r="G175">
            <v>12056</v>
          </cell>
          <cell r="H175">
            <v>12056</v>
          </cell>
          <cell r="I175">
            <v>12056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12056</v>
          </cell>
          <cell r="O175">
            <v>12056</v>
          </cell>
          <cell r="P175">
            <v>0</v>
          </cell>
        </row>
        <row r="176">
          <cell r="C176" t="str">
            <v xml:space="preserve"> 4160 Plan:   514 000 26/04/02 15:19  DET  pro=951 FTH =BOB............CESSIONS....................</v>
          </cell>
          <cell r="E176">
            <v>29546</v>
          </cell>
          <cell r="F176">
            <v>29546</v>
          </cell>
          <cell r="G176">
            <v>29546</v>
          </cell>
          <cell r="H176">
            <v>29546</v>
          </cell>
          <cell r="I176">
            <v>29546</v>
          </cell>
          <cell r="J176">
            <v>29546</v>
          </cell>
          <cell r="K176">
            <v>29546</v>
          </cell>
          <cell r="L176">
            <v>0</v>
          </cell>
          <cell r="M176">
            <v>29546</v>
          </cell>
          <cell r="N176">
            <v>29546</v>
          </cell>
          <cell r="O176">
            <v>29546</v>
          </cell>
          <cell r="P176">
            <v>29546</v>
          </cell>
        </row>
        <row r="177">
          <cell r="C177" t="str">
            <v xml:space="preserve"> 4161 Plan:   515 000 26/04/02 15:19  DET  pro=001 FTH =CRL............CESSIONS....................</v>
          </cell>
          <cell r="E177">
            <v>0</v>
          </cell>
          <cell r="F177">
            <v>452025</v>
          </cell>
          <cell r="G177">
            <v>401800</v>
          </cell>
          <cell r="H177">
            <v>452025</v>
          </cell>
          <cell r="I177">
            <v>150675</v>
          </cell>
          <cell r="J177">
            <v>0</v>
          </cell>
          <cell r="K177">
            <v>602700</v>
          </cell>
          <cell r="L177">
            <v>0</v>
          </cell>
          <cell r="M177">
            <v>0</v>
          </cell>
          <cell r="N177">
            <v>602700</v>
          </cell>
          <cell r="O177">
            <v>0</v>
          </cell>
          <cell r="P177">
            <v>0</v>
          </cell>
        </row>
        <row r="178">
          <cell r="C178" t="str">
            <v xml:space="preserve"> 4162 Plan:   515 000 26/04/02 15:19  DET  pro=003 FTH =CRL............CESSIONS....................</v>
          </cell>
          <cell r="E178">
            <v>0</v>
          </cell>
          <cell r="F178">
            <v>0</v>
          </cell>
          <cell r="G178">
            <v>0</v>
          </cell>
          <cell r="H178">
            <v>193162</v>
          </cell>
          <cell r="I178">
            <v>0</v>
          </cell>
          <cell r="J178">
            <v>0</v>
          </cell>
          <cell r="K178">
            <v>0</v>
          </cell>
          <cell r="L178">
            <v>48290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C179" t="str">
            <v xml:space="preserve"> 4163 Plan:   515 000 26/04/02 15:19  DET  pro=004 FTH =CRL............CESSIONS....................</v>
          </cell>
          <cell r="E179">
            <v>0</v>
          </cell>
          <cell r="F179">
            <v>104202</v>
          </cell>
          <cell r="G179">
            <v>0</v>
          </cell>
          <cell r="H179">
            <v>0</v>
          </cell>
          <cell r="I179">
            <v>208403</v>
          </cell>
          <cell r="J179">
            <v>0</v>
          </cell>
          <cell r="K179">
            <v>0</v>
          </cell>
          <cell r="L179">
            <v>0</v>
          </cell>
          <cell r="M179">
            <v>104202</v>
          </cell>
          <cell r="N179">
            <v>0</v>
          </cell>
          <cell r="O179">
            <v>104202</v>
          </cell>
          <cell r="P179">
            <v>0</v>
          </cell>
        </row>
        <row r="180">
          <cell r="C180" t="str">
            <v xml:space="preserve"> 4164 Plan:   515 000 26/04/02 15:19  DET  pro=005 FTH =CRL............CESSIONS....................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50220</v>
          </cell>
          <cell r="J180">
            <v>50220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C181" t="str">
            <v xml:space="preserve"> 4165 Plan:   515 000 26/04/02 15:19  DET  pro=006 FTH =CRL............CESSIONS....................</v>
          </cell>
          <cell r="E181">
            <v>231332</v>
          </cell>
          <cell r="F181">
            <v>115666</v>
          </cell>
          <cell r="G181">
            <v>0</v>
          </cell>
          <cell r="H181">
            <v>289164</v>
          </cell>
          <cell r="I181">
            <v>115666</v>
          </cell>
          <cell r="J181">
            <v>57833</v>
          </cell>
          <cell r="K181">
            <v>57833</v>
          </cell>
          <cell r="L181">
            <v>520496</v>
          </cell>
          <cell r="M181">
            <v>57833</v>
          </cell>
          <cell r="N181">
            <v>115666</v>
          </cell>
          <cell r="O181">
            <v>173499</v>
          </cell>
          <cell r="P181">
            <v>231332</v>
          </cell>
        </row>
        <row r="182">
          <cell r="C182" t="str">
            <v xml:space="preserve"> 4166 Plan:   515 000 26/04/02 15:19  DET  pro=008 FTH =CRL............CESSIONS....................</v>
          </cell>
          <cell r="E182">
            <v>0</v>
          </cell>
          <cell r="F182">
            <v>0</v>
          </cell>
          <cell r="G182">
            <v>47221</v>
          </cell>
          <cell r="H182">
            <v>94441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C183" t="str">
            <v xml:space="preserve"> 4167 Plan:   515 000 26/04/02 15:19  DET  pro=009 FTH =CRL............CESSIONS....................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C184" t="str">
            <v xml:space="preserve"> 4168 Plan:   515 000 26/04/02 15:19  DET  pro=010 FTH =CRL............CESSIONS....................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C185" t="str">
            <v xml:space="preserve"> 4169 Plan:   515 000 26/04/02 15:19  DET  pro=011 FTH =CRL............CESSIONS....................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C186" t="str">
            <v xml:space="preserve"> 4170 Plan:   515 000 26/04/02 15:19  DET  pro=019 FTH =CRL............CESSIONS....................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115662</v>
          </cell>
          <cell r="K186">
            <v>57831</v>
          </cell>
          <cell r="L186">
            <v>115662</v>
          </cell>
          <cell r="M186">
            <v>57831</v>
          </cell>
          <cell r="N186">
            <v>57831</v>
          </cell>
          <cell r="O186">
            <v>57831</v>
          </cell>
          <cell r="P186">
            <v>231324</v>
          </cell>
        </row>
        <row r="187">
          <cell r="C187" t="str">
            <v xml:space="preserve"> 4171 Plan:   515 000 26/04/02 15:19  DET  pro=020 FTH =CRL............CESSIONS....................</v>
          </cell>
          <cell r="E187">
            <v>0</v>
          </cell>
          <cell r="F187">
            <v>0</v>
          </cell>
          <cell r="G187">
            <v>50220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C188" t="str">
            <v xml:space="preserve"> 4172 Plan:   515 000 26/04/02 15:19  DET  pro=025 FTH =CRL............CESSIONS....................</v>
          </cell>
          <cell r="E188">
            <v>0</v>
          </cell>
          <cell r="F188">
            <v>0</v>
          </cell>
          <cell r="G188">
            <v>75800</v>
          </cell>
          <cell r="H188">
            <v>227400</v>
          </cell>
          <cell r="I188">
            <v>0</v>
          </cell>
          <cell r="J188">
            <v>0</v>
          </cell>
          <cell r="K188">
            <v>151600</v>
          </cell>
          <cell r="L188">
            <v>0</v>
          </cell>
          <cell r="M188">
            <v>151600</v>
          </cell>
          <cell r="N188">
            <v>75800</v>
          </cell>
          <cell r="O188">
            <v>151600</v>
          </cell>
          <cell r="P188">
            <v>0</v>
          </cell>
        </row>
        <row r="189">
          <cell r="C189" t="str">
            <v xml:space="preserve"> 4173 Plan:   515 000 26/04/02 15:19  DET  pro=032 FTH =CRL............CESSIONS....................</v>
          </cell>
          <cell r="E189">
            <v>0</v>
          </cell>
          <cell r="F189">
            <v>220944</v>
          </cell>
          <cell r="G189">
            <v>110472</v>
          </cell>
          <cell r="H189">
            <v>0</v>
          </cell>
          <cell r="I189">
            <v>220944</v>
          </cell>
          <cell r="J189">
            <v>0</v>
          </cell>
          <cell r="K189">
            <v>220944</v>
          </cell>
          <cell r="L189">
            <v>0</v>
          </cell>
          <cell r="M189">
            <v>331416</v>
          </cell>
          <cell r="N189">
            <v>110472</v>
          </cell>
          <cell r="O189">
            <v>220944</v>
          </cell>
          <cell r="P189">
            <v>0</v>
          </cell>
        </row>
        <row r="190">
          <cell r="C190" t="str">
            <v xml:space="preserve"> 4174 Plan:   515 000 26/04/02 15:19  DET  pro=043 FTH =CRL............CESSIONS....................</v>
          </cell>
          <cell r="E190">
            <v>119500</v>
          </cell>
          <cell r="F190">
            <v>47800</v>
          </cell>
          <cell r="G190">
            <v>191200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C191" t="str">
            <v xml:space="preserve"> 4175 Plan:   515 000 26/04/02 15:19  DET  pro=044 FTH =CRL............CESSIONS....................</v>
          </cell>
          <cell r="E191">
            <v>0</v>
          </cell>
          <cell r="F191">
            <v>0</v>
          </cell>
          <cell r="G191">
            <v>0</v>
          </cell>
          <cell r="H191">
            <v>338000</v>
          </cell>
          <cell r="I191">
            <v>354900</v>
          </cell>
          <cell r="J191">
            <v>371800</v>
          </cell>
          <cell r="K191">
            <v>456300</v>
          </cell>
          <cell r="L191">
            <v>456300</v>
          </cell>
          <cell r="M191">
            <v>456300</v>
          </cell>
          <cell r="N191">
            <v>490100</v>
          </cell>
          <cell r="O191">
            <v>523900</v>
          </cell>
          <cell r="P191">
            <v>540800</v>
          </cell>
        </row>
        <row r="192">
          <cell r="C192" t="str">
            <v xml:space="preserve"> 4176 Plan:   515 000 26/04/02 15:19  DET  pro=045 FTH =CRL............CESSIONS....................</v>
          </cell>
          <cell r="E192">
            <v>121200</v>
          </cell>
          <cell r="F192">
            <v>262600</v>
          </cell>
          <cell r="G192">
            <v>262600</v>
          </cell>
          <cell r="H192">
            <v>121200</v>
          </cell>
          <cell r="I192">
            <v>60600</v>
          </cell>
          <cell r="J192">
            <v>60600</v>
          </cell>
          <cell r="K192">
            <v>20200</v>
          </cell>
          <cell r="L192">
            <v>0</v>
          </cell>
          <cell r="M192">
            <v>0</v>
          </cell>
          <cell r="N192">
            <v>121200</v>
          </cell>
          <cell r="O192">
            <v>80800</v>
          </cell>
          <cell r="P192">
            <v>0</v>
          </cell>
        </row>
        <row r="193">
          <cell r="C193" t="str">
            <v xml:space="preserve"> 4177 Plan:   515 000 26/04/02 15:19  DET  pro=047 FTH =CRL............CESSIONS....................</v>
          </cell>
          <cell r="E193">
            <v>352813</v>
          </cell>
          <cell r="F193">
            <v>352813</v>
          </cell>
          <cell r="G193">
            <v>352813</v>
          </cell>
          <cell r="H193">
            <v>352813</v>
          </cell>
          <cell r="I193">
            <v>352813</v>
          </cell>
          <cell r="J193">
            <v>352813</v>
          </cell>
          <cell r="K193">
            <v>352813</v>
          </cell>
          <cell r="L193">
            <v>302411</v>
          </cell>
          <cell r="M193">
            <v>352813</v>
          </cell>
          <cell r="N193">
            <v>352813</v>
          </cell>
          <cell r="O193">
            <v>352813</v>
          </cell>
          <cell r="P193">
            <v>352813</v>
          </cell>
        </row>
        <row r="194">
          <cell r="C194" t="str">
            <v xml:space="preserve"> 4178 Plan:   515 000 26/04/02 15:19  DET  pro=060 FTH =CRL............CESSIONS....................</v>
          </cell>
          <cell r="E194">
            <v>0</v>
          </cell>
          <cell r="F194">
            <v>46318</v>
          </cell>
          <cell r="G194">
            <v>0</v>
          </cell>
          <cell r="H194">
            <v>46318</v>
          </cell>
          <cell r="I194">
            <v>0</v>
          </cell>
          <cell r="J194">
            <v>0</v>
          </cell>
          <cell r="K194">
            <v>51464</v>
          </cell>
          <cell r="L194">
            <v>0</v>
          </cell>
          <cell r="M194">
            <v>0</v>
          </cell>
          <cell r="N194">
            <v>51464</v>
          </cell>
          <cell r="O194">
            <v>0</v>
          </cell>
          <cell r="P194">
            <v>0</v>
          </cell>
        </row>
        <row r="195">
          <cell r="C195" t="str">
            <v xml:space="preserve"> 4179 Plan:   515 000 26/04/02 15:19  DET  pro=061 FTH =CRL............CESSIONS....................</v>
          </cell>
          <cell r="E195">
            <v>0</v>
          </cell>
          <cell r="F195">
            <v>71637</v>
          </cell>
          <cell r="G195">
            <v>0</v>
          </cell>
          <cell r="H195">
            <v>71637</v>
          </cell>
          <cell r="I195">
            <v>0</v>
          </cell>
          <cell r="J195">
            <v>0</v>
          </cell>
          <cell r="K195">
            <v>79596</v>
          </cell>
          <cell r="L195">
            <v>0</v>
          </cell>
          <cell r="M195">
            <v>0</v>
          </cell>
          <cell r="N195">
            <v>79596</v>
          </cell>
          <cell r="O195">
            <v>0</v>
          </cell>
          <cell r="P195">
            <v>0</v>
          </cell>
        </row>
        <row r="196">
          <cell r="C196" t="str">
            <v xml:space="preserve"> 4180 Plan:   515 000 26/04/02 15:19  DET  pro=071 FTH =CRL............CESSIONS....................</v>
          </cell>
          <cell r="E196">
            <v>5852</v>
          </cell>
          <cell r="F196">
            <v>5852</v>
          </cell>
          <cell r="G196">
            <v>5852</v>
          </cell>
          <cell r="H196">
            <v>5852</v>
          </cell>
          <cell r="I196">
            <v>5852</v>
          </cell>
          <cell r="J196">
            <v>5852</v>
          </cell>
          <cell r="K196">
            <v>5852</v>
          </cell>
          <cell r="L196">
            <v>5852</v>
          </cell>
          <cell r="M196">
            <v>5852</v>
          </cell>
          <cell r="N196">
            <v>5852</v>
          </cell>
          <cell r="O196">
            <v>5852</v>
          </cell>
          <cell r="P196">
            <v>5852</v>
          </cell>
        </row>
        <row r="197">
          <cell r="C197" t="str">
            <v xml:space="preserve"> 4181 Plan:   515 000 26/04/02 15:19  DET  pro=072 FTH =CRL............CESSIONS....................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C198" t="str">
            <v xml:space="preserve"> 4182 Plan:   515 000 26/04/02 15:19  DET  pro=074 FTH =CRL............CESSIONS....................</v>
          </cell>
          <cell r="E198">
            <v>0</v>
          </cell>
          <cell r="F198">
            <v>0</v>
          </cell>
          <cell r="G198">
            <v>2530</v>
          </cell>
          <cell r="H198">
            <v>7590</v>
          </cell>
          <cell r="I198">
            <v>0</v>
          </cell>
          <cell r="J198">
            <v>0</v>
          </cell>
          <cell r="K198">
            <v>5060</v>
          </cell>
          <cell r="L198">
            <v>0</v>
          </cell>
          <cell r="M198">
            <v>5060</v>
          </cell>
          <cell r="N198">
            <v>2530</v>
          </cell>
          <cell r="O198">
            <v>2530</v>
          </cell>
          <cell r="P198">
            <v>0</v>
          </cell>
        </row>
        <row r="199">
          <cell r="C199" t="str">
            <v xml:space="preserve"> 4183 Plan:   515 000 26/04/02 15:19  DET  pro=075 FTH =CRL............CESSIONS....................</v>
          </cell>
          <cell r="E199">
            <v>0</v>
          </cell>
          <cell r="F199">
            <v>10262</v>
          </cell>
          <cell r="G199">
            <v>0</v>
          </cell>
          <cell r="H199">
            <v>10262</v>
          </cell>
          <cell r="I199">
            <v>0</v>
          </cell>
          <cell r="J199">
            <v>0</v>
          </cell>
          <cell r="K199">
            <v>12543</v>
          </cell>
          <cell r="L199">
            <v>0</v>
          </cell>
          <cell r="M199">
            <v>0</v>
          </cell>
          <cell r="N199">
            <v>13683</v>
          </cell>
          <cell r="O199">
            <v>0</v>
          </cell>
          <cell r="P199">
            <v>0</v>
          </cell>
        </row>
        <row r="200">
          <cell r="C200" t="str">
            <v xml:space="preserve"> 4184 Plan:   515 000 26/04/02 15:19  DET  pro=076 FTH =CRL............CESSIONS....................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1448</v>
          </cell>
          <cell r="N200">
            <v>0</v>
          </cell>
          <cell r="O200">
            <v>1448</v>
          </cell>
          <cell r="P200">
            <v>724</v>
          </cell>
        </row>
        <row r="201">
          <cell r="C201" t="str">
            <v xml:space="preserve"> 4185 Plan:   515 000 26/04/02 15:19  DET  pro=077 FTH =CRL............CESSIONS....................</v>
          </cell>
          <cell r="E201">
            <v>0</v>
          </cell>
          <cell r="F201">
            <v>1538</v>
          </cell>
          <cell r="G201">
            <v>0</v>
          </cell>
          <cell r="H201">
            <v>0</v>
          </cell>
          <cell r="I201">
            <v>3076</v>
          </cell>
          <cell r="J201">
            <v>0</v>
          </cell>
          <cell r="K201">
            <v>0</v>
          </cell>
          <cell r="L201">
            <v>0</v>
          </cell>
          <cell r="M201">
            <v>1538</v>
          </cell>
          <cell r="N201">
            <v>0</v>
          </cell>
          <cell r="O201">
            <v>1538</v>
          </cell>
          <cell r="P201">
            <v>0</v>
          </cell>
        </row>
        <row r="202">
          <cell r="C202" t="str">
            <v xml:space="preserve"> 4186 Plan:   515 000 26/04/02 15:19  DET  pro=078 FTH =CRL............CESSIONS....................</v>
          </cell>
          <cell r="E202">
            <v>12959</v>
          </cell>
          <cell r="F202">
            <v>6480</v>
          </cell>
          <cell r="G202">
            <v>0</v>
          </cell>
          <cell r="H202">
            <v>19439</v>
          </cell>
          <cell r="I202">
            <v>6480</v>
          </cell>
          <cell r="J202">
            <v>3240</v>
          </cell>
          <cell r="K202">
            <v>3240</v>
          </cell>
          <cell r="L202">
            <v>12959</v>
          </cell>
          <cell r="M202">
            <v>3240</v>
          </cell>
          <cell r="N202">
            <v>6480</v>
          </cell>
          <cell r="O202">
            <v>9720</v>
          </cell>
          <cell r="P202">
            <v>12959</v>
          </cell>
        </row>
        <row r="203">
          <cell r="C203" t="str">
            <v xml:space="preserve"> 4187 Plan:   515 000 26/04/02 15:19  DET  pro=079 FTH =CRL............CESSIONS....................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 xml:space="preserve"> 4188 Plan:   515 000 26/04/02 15:19  DET  pro=953 FTH =CRL............CESSIONS....................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C205" t="str">
            <v xml:space="preserve"> 4189 Plan:   518 000 26/04/02 15:19  DET  pro=007 FTH =HSI............CESSIONS....................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C206" t="str">
            <v xml:space="preserve"> 4190 Plan:   518 000 26/04/02 15:19  DET  pro=049 FTH =HSI............CESSIONS....................</v>
          </cell>
          <cell r="E206">
            <v>0</v>
          </cell>
          <cell r="F206">
            <v>0</v>
          </cell>
          <cell r="G206">
            <v>0</v>
          </cell>
          <cell r="H206">
            <v>9486</v>
          </cell>
          <cell r="I206">
            <v>18973</v>
          </cell>
          <cell r="J206">
            <v>0</v>
          </cell>
          <cell r="K206">
            <v>18973</v>
          </cell>
          <cell r="L206">
            <v>0</v>
          </cell>
          <cell r="M206">
            <v>18973</v>
          </cell>
          <cell r="N206">
            <v>0</v>
          </cell>
          <cell r="O206">
            <v>18973</v>
          </cell>
          <cell r="P206">
            <v>28459</v>
          </cell>
        </row>
        <row r="207">
          <cell r="C207" t="str">
            <v xml:space="preserve"> 4191 Plan:   518 000 26/04/02 15:19  DET  pro=050 FTH =HSI............CESSIONS....................</v>
          </cell>
          <cell r="E207">
            <v>0</v>
          </cell>
          <cell r="F207">
            <v>0</v>
          </cell>
          <cell r="G207">
            <v>0</v>
          </cell>
          <cell r="H207">
            <v>10623</v>
          </cell>
          <cell r="I207">
            <v>15935</v>
          </cell>
          <cell r="J207">
            <v>15935</v>
          </cell>
          <cell r="K207">
            <v>0</v>
          </cell>
          <cell r="L207">
            <v>15935</v>
          </cell>
          <cell r="M207">
            <v>15935</v>
          </cell>
          <cell r="N207">
            <v>0</v>
          </cell>
          <cell r="O207">
            <v>21247</v>
          </cell>
          <cell r="P207">
            <v>10623</v>
          </cell>
        </row>
        <row r="208">
          <cell r="C208" t="str">
            <v xml:space="preserve"> 4192 Plan:   518 000 26/04/02 15:19  DET  pro=098 FTH =HSI............CESSIONS....................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C209" t="str">
            <v xml:space="preserve"> 4193 Plan:   518 000 26/04/02 15:19  DET  pro=220 FTH =HSI............CESSIONS....................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C210" t="str">
            <v xml:space="preserve"> 4194 Plan:   518 000 26/04/02 15:19  DET  pro=221 FTH =HSI............CESSIONS....................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C211" t="str">
            <v xml:space="preserve"> 4195 Plan:   518 000 26/04/02 15:19  DET  pro=50  FTH =HSI............CESSIONS....................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C212" t="str">
            <v xml:space="preserve"> 4196 Plan:   518 000 26/04/02 15:19  DET  pro=850 FTH =HSI............CESSIONS....................</v>
          </cell>
          <cell r="E212">
            <v>15528</v>
          </cell>
          <cell r="F212">
            <v>15528</v>
          </cell>
          <cell r="G212">
            <v>15528</v>
          </cell>
          <cell r="H212">
            <v>15528</v>
          </cell>
          <cell r="I212">
            <v>15528</v>
          </cell>
          <cell r="J212">
            <v>15528</v>
          </cell>
          <cell r="K212">
            <v>15528</v>
          </cell>
          <cell r="L212">
            <v>15528</v>
          </cell>
          <cell r="M212">
            <v>15528</v>
          </cell>
          <cell r="N212">
            <v>15528</v>
          </cell>
          <cell r="O212">
            <v>15528</v>
          </cell>
          <cell r="P212">
            <v>15528</v>
          </cell>
        </row>
        <row r="213">
          <cell r="C213" t="str">
            <v xml:space="preserve"> 4197 Plan:   518 000 26/04/02 15:19  DET  pro=854 FTH =HSI............CESSIONS....................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C214" t="str">
            <v xml:space="preserve"> 4198 Plan:   518 000 26/04/02 15:19  DET  pro=952 FTH =HSI............CESSIONS....................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C215" t="str">
            <v xml:space="preserve"> 4199 Plan:   518 000 26/04/02 15:19  DET  pro=954 FTH =HSI............CESSIONS....................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C216" t="str">
            <v xml:space="preserve"> 4200 Plan:   518 000 26/04/02 15:19  DET  pro=955 FTH =HSI............CESSIONS....................</v>
          </cell>
          <cell r="E216">
            <v>3780</v>
          </cell>
          <cell r="F216">
            <v>3780</v>
          </cell>
          <cell r="G216">
            <v>3780</v>
          </cell>
          <cell r="H216">
            <v>3780</v>
          </cell>
          <cell r="I216">
            <v>3780</v>
          </cell>
          <cell r="J216">
            <v>3780</v>
          </cell>
          <cell r="K216">
            <v>3780</v>
          </cell>
          <cell r="L216">
            <v>3780</v>
          </cell>
          <cell r="M216">
            <v>3780</v>
          </cell>
          <cell r="N216">
            <v>3780</v>
          </cell>
          <cell r="O216">
            <v>3780</v>
          </cell>
          <cell r="P216">
            <v>3780</v>
          </cell>
        </row>
        <row r="217">
          <cell r="C217" t="str">
            <v xml:space="preserve"> 4201 Plan:   518 000 26/04/02 15:19  DET  pro=956 FTH =HSI............CESSIONS....................</v>
          </cell>
          <cell r="E217">
            <v>3780</v>
          </cell>
          <cell r="F217">
            <v>3780</v>
          </cell>
          <cell r="G217">
            <v>3780</v>
          </cell>
          <cell r="H217">
            <v>3780</v>
          </cell>
          <cell r="I217">
            <v>3780</v>
          </cell>
          <cell r="J217">
            <v>3780</v>
          </cell>
          <cell r="K217">
            <v>3780</v>
          </cell>
          <cell r="L217">
            <v>3780</v>
          </cell>
          <cell r="M217">
            <v>3780</v>
          </cell>
          <cell r="N217">
            <v>3780</v>
          </cell>
          <cell r="O217">
            <v>3780</v>
          </cell>
          <cell r="P217">
            <v>3780</v>
          </cell>
        </row>
        <row r="218">
          <cell r="C218" t="str">
            <v xml:space="preserve"> 4202 Plan:   518 000 26/04/02 15:19  DET  pro=957 FTH =HSI............CESSIONS....................</v>
          </cell>
          <cell r="E218">
            <v>51030</v>
          </cell>
          <cell r="F218">
            <v>51030</v>
          </cell>
          <cell r="G218">
            <v>51030</v>
          </cell>
          <cell r="H218">
            <v>51030</v>
          </cell>
          <cell r="I218">
            <v>51030</v>
          </cell>
          <cell r="J218">
            <v>51030</v>
          </cell>
          <cell r="K218">
            <v>51030</v>
          </cell>
          <cell r="L218">
            <v>17010</v>
          </cell>
          <cell r="M218">
            <v>51030</v>
          </cell>
          <cell r="N218">
            <v>51030</v>
          </cell>
          <cell r="O218">
            <v>51030</v>
          </cell>
          <cell r="P218">
            <v>51030</v>
          </cell>
        </row>
        <row r="219">
          <cell r="C219" t="str">
            <v xml:space="preserve"> 4203 Plan:   518 000 26/04/02 15:19  DET  pro=958 FTH =HSI............CESSIONS....................</v>
          </cell>
          <cell r="E219">
            <v>1502</v>
          </cell>
          <cell r="F219">
            <v>1502</v>
          </cell>
          <cell r="G219">
            <v>1502</v>
          </cell>
          <cell r="H219">
            <v>1964</v>
          </cell>
          <cell r="I219">
            <v>1502</v>
          </cell>
          <cell r="J219">
            <v>1502</v>
          </cell>
          <cell r="K219">
            <v>1502</v>
          </cell>
          <cell r="L219">
            <v>1502</v>
          </cell>
          <cell r="M219">
            <v>1502</v>
          </cell>
          <cell r="N219">
            <v>1502</v>
          </cell>
          <cell r="O219">
            <v>1502</v>
          </cell>
          <cell r="P219">
            <v>1502</v>
          </cell>
        </row>
        <row r="220">
          <cell r="C220" t="str">
            <v xml:space="preserve"> 4204 Plan:   518 000 26/04/02 15:19  DET  pro=959 FTH =HSI............CESSIONS....................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102</v>
          </cell>
          <cell r="L220">
            <v>102</v>
          </cell>
          <cell r="M220">
            <v>102</v>
          </cell>
          <cell r="N220">
            <v>102</v>
          </cell>
          <cell r="O220">
            <v>102</v>
          </cell>
          <cell r="P220">
            <v>102</v>
          </cell>
        </row>
        <row r="221">
          <cell r="C221" t="str">
            <v xml:space="preserve"> 4205 Plan:   521 000 26/04/02 15:19  DET  pro=398 FTH =PED............CESSIONS....................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C222" t="str">
            <v xml:space="preserve"> 4206 Plan:   521 000 26/04/02 15:19  DET  pro=400 FTH =PED............CESSIONS....................</v>
          </cell>
          <cell r="E222">
            <v>21564</v>
          </cell>
          <cell r="F222">
            <v>0</v>
          </cell>
          <cell r="G222">
            <v>21564</v>
          </cell>
          <cell r="H222">
            <v>21564</v>
          </cell>
          <cell r="I222">
            <v>21564</v>
          </cell>
          <cell r="J222">
            <v>43129</v>
          </cell>
          <cell r="K222">
            <v>21564</v>
          </cell>
          <cell r="L222">
            <v>0</v>
          </cell>
          <cell r="M222">
            <v>32347</v>
          </cell>
          <cell r="N222">
            <v>0</v>
          </cell>
          <cell r="O222">
            <v>21564</v>
          </cell>
          <cell r="P222">
            <v>0</v>
          </cell>
        </row>
        <row r="223">
          <cell r="C223" t="str">
            <v xml:space="preserve"> 4207 Plan:   521 000 26/04/02 15:19  DET  pro=401 FTH =PED............CESSIONS....................</v>
          </cell>
          <cell r="E223">
            <v>0</v>
          </cell>
          <cell r="F223">
            <v>4171</v>
          </cell>
          <cell r="G223">
            <v>4171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4171</v>
          </cell>
          <cell r="N223">
            <v>4171</v>
          </cell>
          <cell r="O223">
            <v>8342</v>
          </cell>
          <cell r="P223">
            <v>4171</v>
          </cell>
        </row>
        <row r="224">
          <cell r="C224" t="str">
            <v xml:space="preserve"> 4208 Plan:   521 000 26/04/02 15:19  DET  pro=410 FTH =PED............CESSIONS....................</v>
          </cell>
          <cell r="E224">
            <v>32303</v>
          </cell>
          <cell r="F224">
            <v>32303</v>
          </cell>
          <cell r="G224">
            <v>32303</v>
          </cell>
          <cell r="H224">
            <v>32303</v>
          </cell>
          <cell r="I224">
            <v>32303</v>
          </cell>
          <cell r="J224">
            <v>32303</v>
          </cell>
          <cell r="K224">
            <v>32303</v>
          </cell>
          <cell r="L224">
            <v>0</v>
          </cell>
          <cell r="M224">
            <v>32303</v>
          </cell>
          <cell r="N224">
            <v>32303</v>
          </cell>
          <cell r="O224">
            <v>32303</v>
          </cell>
          <cell r="P224">
            <v>32303</v>
          </cell>
        </row>
        <row r="225">
          <cell r="C225" t="str">
            <v xml:space="preserve"> 4209 Plan:   522 000 26/04/02 15:19  DET  pro=950 FTH =RSE............CESSIONS....................</v>
          </cell>
          <cell r="E225">
            <v>45453</v>
          </cell>
          <cell r="F225">
            <v>45453</v>
          </cell>
          <cell r="G225">
            <v>45453</v>
          </cell>
          <cell r="H225">
            <v>45453</v>
          </cell>
          <cell r="I225">
            <v>45453</v>
          </cell>
          <cell r="J225">
            <v>45453</v>
          </cell>
          <cell r="K225">
            <v>45453</v>
          </cell>
          <cell r="L225">
            <v>0</v>
          </cell>
          <cell r="M225">
            <v>45453</v>
          </cell>
          <cell r="N225">
            <v>45453</v>
          </cell>
          <cell r="O225">
            <v>45453</v>
          </cell>
          <cell r="P225">
            <v>45453</v>
          </cell>
        </row>
        <row r="226">
          <cell r="C226" t="str">
            <v xml:space="preserve"> 4210 Plan:   523 000 26/04/02 15:19  DET  pro=099 FTH =SSR............CESSIONS....................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C227" t="str">
            <v xml:space="preserve"> 4211 Plan:   523 000 26/04/02 15:19  DET  pro=100 FTH =SSR............CESSIONS....................</v>
          </cell>
          <cell r="E227">
            <v>0</v>
          </cell>
          <cell r="F227">
            <v>82680</v>
          </cell>
          <cell r="G227">
            <v>79500</v>
          </cell>
          <cell r="H227">
            <v>76320</v>
          </cell>
          <cell r="I227">
            <v>66780</v>
          </cell>
          <cell r="J227">
            <v>69165</v>
          </cell>
          <cell r="K227">
            <v>50085</v>
          </cell>
          <cell r="L227">
            <v>63600</v>
          </cell>
          <cell r="M227">
            <v>63600</v>
          </cell>
          <cell r="N227">
            <v>72345</v>
          </cell>
          <cell r="O227">
            <v>71550</v>
          </cell>
          <cell r="P227">
            <v>54855</v>
          </cell>
        </row>
        <row r="228">
          <cell r="C228" t="str">
            <v xml:space="preserve"> 4212 Plan:   523 000 26/04/02 15:19  DET  pro=101 FTH =SSR............CESSIONS....................</v>
          </cell>
          <cell r="E228">
            <v>0</v>
          </cell>
          <cell r="F228">
            <v>25080</v>
          </cell>
          <cell r="G228">
            <v>21660</v>
          </cell>
          <cell r="H228">
            <v>4560</v>
          </cell>
          <cell r="I228">
            <v>0</v>
          </cell>
          <cell r="J228">
            <v>13680</v>
          </cell>
          <cell r="K228">
            <v>15960</v>
          </cell>
          <cell r="L228">
            <v>14820</v>
          </cell>
          <cell r="M228">
            <v>26220</v>
          </cell>
          <cell r="N228">
            <v>23940</v>
          </cell>
          <cell r="O228">
            <v>21660</v>
          </cell>
          <cell r="P228">
            <v>17100</v>
          </cell>
        </row>
        <row r="229">
          <cell r="C229" t="str">
            <v xml:space="preserve"> 4213 Plan:   523 000 26/04/02 15:19  DET  pro=102 FTH =SSR............CESSIONS....................</v>
          </cell>
          <cell r="E229">
            <v>1140</v>
          </cell>
          <cell r="F229">
            <v>13680</v>
          </cell>
          <cell r="G229">
            <v>7980</v>
          </cell>
          <cell r="H229">
            <v>4560</v>
          </cell>
          <cell r="I229">
            <v>7980</v>
          </cell>
          <cell r="J229">
            <v>3420</v>
          </cell>
          <cell r="K229">
            <v>4560</v>
          </cell>
          <cell r="L229">
            <v>4560</v>
          </cell>
          <cell r="M229">
            <v>3420</v>
          </cell>
          <cell r="N229">
            <v>3420</v>
          </cell>
          <cell r="O229">
            <v>2280</v>
          </cell>
          <cell r="P229">
            <v>1140</v>
          </cell>
        </row>
        <row r="230">
          <cell r="C230" t="str">
            <v xml:space="preserve"> 4214 Plan:   523 000 26/04/02 15:19  DET  pro=150 FTH =SSR............CESSIONS....................</v>
          </cell>
          <cell r="E230">
            <v>0</v>
          </cell>
          <cell r="F230">
            <v>21800</v>
          </cell>
          <cell r="G230">
            <v>17440</v>
          </cell>
          <cell r="H230">
            <v>39240</v>
          </cell>
          <cell r="I230">
            <v>17440</v>
          </cell>
          <cell r="J230">
            <v>4360</v>
          </cell>
          <cell r="K230">
            <v>17440</v>
          </cell>
          <cell r="L230">
            <v>17440</v>
          </cell>
          <cell r="M230">
            <v>13080</v>
          </cell>
          <cell r="N230">
            <v>8720</v>
          </cell>
          <cell r="O230">
            <v>8720</v>
          </cell>
          <cell r="P230">
            <v>21800</v>
          </cell>
        </row>
        <row r="231">
          <cell r="C231" t="str">
            <v xml:space="preserve"> 4215 Plan:   523 000 26/04/02 15:19  DET  pro=155 FTH =SSR............CESSIONS....................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</row>
        <row r="232">
          <cell r="C232" t="str">
            <v xml:space="preserve"> 4216 Plan:   524 000 26/04/02 15:19  DET  pro=806 FTH =SUP............CESSIONS....................</v>
          </cell>
          <cell r="E232">
            <v>179538</v>
          </cell>
          <cell r="F232">
            <v>179538</v>
          </cell>
          <cell r="G232">
            <v>179538</v>
          </cell>
          <cell r="H232">
            <v>179538</v>
          </cell>
          <cell r="I232">
            <v>179538</v>
          </cell>
          <cell r="J232">
            <v>179538</v>
          </cell>
          <cell r="K232">
            <v>179538</v>
          </cell>
          <cell r="L232">
            <v>179538</v>
          </cell>
          <cell r="M232">
            <v>179538</v>
          </cell>
          <cell r="N232">
            <v>179538</v>
          </cell>
          <cell r="O232">
            <v>179538</v>
          </cell>
          <cell r="P232">
            <v>179538</v>
          </cell>
        </row>
        <row r="233">
          <cell r="C233" t="str">
            <v xml:space="preserve"> 4217 Plan:   524 000 26/04/02 15:19  DET  pro=852 FTH =SUP............CESSIONS....................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C234" t="str">
            <v xml:space="preserve"> 4218 Plan:   524 000 26/04/02 15:19  DET  pro=855 FTH =SUP............CESSIONS....................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</row>
        <row r="235">
          <cell r="C235" t="str">
            <v xml:space="preserve"> 4219 Plan:   517 000 26/04/02 15:19  DET  pro=171 FTH =EXT............CESSIONS....................</v>
          </cell>
          <cell r="E235">
            <v>0</v>
          </cell>
          <cell r="F235">
            <v>57444</v>
          </cell>
          <cell r="G235">
            <v>57444</v>
          </cell>
          <cell r="H235">
            <v>57444</v>
          </cell>
          <cell r="I235">
            <v>57444</v>
          </cell>
          <cell r="J235">
            <v>57444</v>
          </cell>
          <cell r="K235">
            <v>57444</v>
          </cell>
          <cell r="L235">
            <v>19148</v>
          </cell>
          <cell r="M235">
            <v>57444</v>
          </cell>
          <cell r="N235">
            <v>57444</v>
          </cell>
          <cell r="O235">
            <v>57444</v>
          </cell>
          <cell r="P235">
            <v>57444</v>
          </cell>
        </row>
        <row r="284">
          <cell r="C284" t="str">
            <v>REQUETES CESSION 981 à 999 ( Valeurs  $)</v>
          </cell>
        </row>
        <row r="285">
          <cell r="C285" t="str">
            <v xml:space="preserve"> 2728 Plan:   981 000 26/04/02 14:24  DET  pro=001 do  =AMA***********cession*********             </v>
          </cell>
          <cell r="E285">
            <v>0</v>
          </cell>
          <cell r="F285">
            <v>452025</v>
          </cell>
          <cell r="G285">
            <v>401800</v>
          </cell>
          <cell r="H285">
            <v>452025</v>
          </cell>
          <cell r="I285">
            <v>150675</v>
          </cell>
          <cell r="J285">
            <v>0</v>
          </cell>
          <cell r="K285">
            <v>602700</v>
          </cell>
          <cell r="L285">
            <v>0</v>
          </cell>
          <cell r="M285">
            <v>0</v>
          </cell>
          <cell r="N285">
            <v>602700</v>
          </cell>
          <cell r="O285">
            <v>0</v>
          </cell>
          <cell r="P285">
            <v>0</v>
          </cell>
        </row>
        <row r="286">
          <cell r="C286" t="str">
            <v xml:space="preserve"> 2729 Plan:   981 000 26/04/02 14:24  DET  pro=003 do  =AMA***********cession*********             </v>
          </cell>
          <cell r="E286">
            <v>0</v>
          </cell>
          <cell r="F286">
            <v>0</v>
          </cell>
          <cell r="G286">
            <v>0</v>
          </cell>
          <cell r="H286">
            <v>193162</v>
          </cell>
          <cell r="I286">
            <v>0</v>
          </cell>
          <cell r="J286">
            <v>0</v>
          </cell>
          <cell r="K286">
            <v>0</v>
          </cell>
          <cell r="L286">
            <v>48290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</row>
        <row r="287">
          <cell r="C287" t="str">
            <v xml:space="preserve"> 2730 Plan:   981 000 26/04/02 14:24  DET  pro=004 do  =AMA***********cession*********             </v>
          </cell>
          <cell r="E287">
            <v>0</v>
          </cell>
          <cell r="F287">
            <v>104202</v>
          </cell>
          <cell r="G287">
            <v>0</v>
          </cell>
          <cell r="H287">
            <v>0</v>
          </cell>
          <cell r="I287">
            <v>208403</v>
          </cell>
          <cell r="J287">
            <v>0</v>
          </cell>
          <cell r="K287">
            <v>0</v>
          </cell>
          <cell r="L287">
            <v>0</v>
          </cell>
          <cell r="M287">
            <v>104202</v>
          </cell>
          <cell r="N287">
            <v>0</v>
          </cell>
          <cell r="O287">
            <v>104202</v>
          </cell>
          <cell r="P287">
            <v>0</v>
          </cell>
        </row>
        <row r="288">
          <cell r="C288" t="str">
            <v xml:space="preserve"> 2731 Plan:   981 000 26/04/02 14:24  DET  pro=005 do  =AMA***********cession*********             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50220</v>
          </cell>
          <cell r="J288">
            <v>50220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</row>
        <row r="289">
          <cell r="C289" t="str">
            <v xml:space="preserve"> 2732 Plan:   981 000 26/04/02 14:24  DET  pro=006 do  =AMA***********cession*********             </v>
          </cell>
          <cell r="E289">
            <v>231332</v>
          </cell>
          <cell r="F289">
            <v>115666</v>
          </cell>
          <cell r="G289">
            <v>0</v>
          </cell>
          <cell r="H289">
            <v>289164</v>
          </cell>
          <cell r="I289">
            <v>115666</v>
          </cell>
          <cell r="J289">
            <v>57833</v>
          </cell>
          <cell r="K289">
            <v>57833</v>
          </cell>
          <cell r="L289">
            <v>520496</v>
          </cell>
          <cell r="M289">
            <v>57833</v>
          </cell>
          <cell r="N289">
            <v>115666</v>
          </cell>
          <cell r="O289">
            <v>173499</v>
          </cell>
          <cell r="P289">
            <v>231332</v>
          </cell>
        </row>
        <row r="290">
          <cell r="C290" t="str">
            <v xml:space="preserve"> 2733 Plan:   981 000 26/04/02 14:24  DET  pro=008 do  =AMA***********cession*********             </v>
          </cell>
          <cell r="E290">
            <v>0</v>
          </cell>
          <cell r="F290">
            <v>0</v>
          </cell>
          <cell r="G290">
            <v>47221</v>
          </cell>
          <cell r="H290">
            <v>94441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C291" t="str">
            <v xml:space="preserve"> 2734 Plan:   981 000 26/04/02 14:24  DET  pro=009 do  =AMA***********cession*********             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C292" t="str">
            <v xml:space="preserve"> 2735 Plan:   981 000 26/04/02 14:24  DET  pro=010 do  =AMA***********cession*********             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C293" t="str">
            <v xml:space="preserve"> 2736 Plan:   981 000 26/04/02 14:24  DET  pro=011 do  =AMA***********cession*********             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C294" t="str">
            <v xml:space="preserve"> 2737 Plan:   981 000 26/04/02 14:24  DET  pro=012 do  =AMA***********cession*********             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28800</v>
          </cell>
          <cell r="M294">
            <v>0</v>
          </cell>
          <cell r="N294">
            <v>7200</v>
          </cell>
          <cell r="O294">
            <v>10800</v>
          </cell>
          <cell r="P294">
            <v>10800</v>
          </cell>
        </row>
        <row r="295">
          <cell r="C295" t="str">
            <v xml:space="preserve"> 2738 Plan:   981 000 26/04/02 14:24  DET  pro=013 do  =AMA***********cession*********             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13928</v>
          </cell>
          <cell r="M295">
            <v>0</v>
          </cell>
          <cell r="N295">
            <v>3482</v>
          </cell>
          <cell r="O295">
            <v>5223</v>
          </cell>
          <cell r="P295">
            <v>5223</v>
          </cell>
        </row>
        <row r="296">
          <cell r="C296" t="str">
            <v xml:space="preserve"> 2739 Plan:   981 000 26/04/02 14:24  DET  pro=019 do  =AMA***********cession*********             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115662</v>
          </cell>
          <cell r="K296">
            <v>57831</v>
          </cell>
          <cell r="L296">
            <v>115662</v>
          </cell>
          <cell r="M296">
            <v>57831</v>
          </cell>
          <cell r="N296">
            <v>57831</v>
          </cell>
          <cell r="O296">
            <v>57831</v>
          </cell>
          <cell r="P296">
            <v>231324</v>
          </cell>
        </row>
        <row r="297">
          <cell r="C297" t="str">
            <v xml:space="preserve"> 2740 Plan:   981 000 26/04/02 14:24  DET  pro=020 do  =AMA***********cession*********             </v>
          </cell>
          <cell r="E297">
            <v>0</v>
          </cell>
          <cell r="F297">
            <v>0</v>
          </cell>
          <cell r="G297">
            <v>50220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C298" t="str">
            <v xml:space="preserve"> 2741 Plan:   981 000 26/04/02 14:24  DET  pro=043 do  =AMA***********cession*********             </v>
          </cell>
          <cell r="E298">
            <v>119500</v>
          </cell>
          <cell r="F298">
            <v>47800</v>
          </cell>
          <cell r="G298">
            <v>191200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C299" t="str">
            <v xml:space="preserve"> 2742 Plan:   981 000 26/04/02 14:24  DET  pro=044 do  =AMA***********cession*********             </v>
          </cell>
          <cell r="E299">
            <v>0</v>
          </cell>
          <cell r="F299">
            <v>0</v>
          </cell>
          <cell r="G299">
            <v>0</v>
          </cell>
          <cell r="H299">
            <v>338000</v>
          </cell>
          <cell r="I299">
            <v>354900</v>
          </cell>
          <cell r="J299">
            <v>371800</v>
          </cell>
          <cell r="K299">
            <v>456300</v>
          </cell>
          <cell r="L299">
            <v>456300</v>
          </cell>
          <cell r="M299">
            <v>456300</v>
          </cell>
          <cell r="N299">
            <v>490100</v>
          </cell>
          <cell r="O299">
            <v>523900</v>
          </cell>
          <cell r="P299">
            <v>540800</v>
          </cell>
        </row>
        <row r="300">
          <cell r="C300" t="str">
            <v xml:space="preserve"> 2743 Plan:   981 000 26/04/02 14:24  DET  pro=045 do  =AMA***********cession*********             </v>
          </cell>
          <cell r="E300">
            <v>121200</v>
          </cell>
          <cell r="F300">
            <v>262600</v>
          </cell>
          <cell r="G300">
            <v>262600</v>
          </cell>
          <cell r="H300">
            <v>121200</v>
          </cell>
          <cell r="I300">
            <v>60600</v>
          </cell>
          <cell r="J300">
            <v>60600</v>
          </cell>
          <cell r="K300">
            <v>20200</v>
          </cell>
          <cell r="L300">
            <v>0</v>
          </cell>
          <cell r="M300">
            <v>0</v>
          </cell>
          <cell r="N300">
            <v>121200</v>
          </cell>
          <cell r="O300">
            <v>80800</v>
          </cell>
          <cell r="P300">
            <v>0</v>
          </cell>
        </row>
        <row r="301">
          <cell r="C301" t="str">
            <v xml:space="preserve"> 2744 Plan:   981 000 26/04/02 14:24  DET  pro=060 do  =AMA***********cession*********             </v>
          </cell>
          <cell r="E301">
            <v>0</v>
          </cell>
          <cell r="F301">
            <v>46318</v>
          </cell>
          <cell r="G301">
            <v>0</v>
          </cell>
          <cell r="H301">
            <v>46318</v>
          </cell>
          <cell r="I301">
            <v>0</v>
          </cell>
          <cell r="J301">
            <v>0</v>
          </cell>
          <cell r="K301">
            <v>51464</v>
          </cell>
          <cell r="L301">
            <v>0</v>
          </cell>
          <cell r="M301">
            <v>0</v>
          </cell>
          <cell r="N301">
            <v>51464</v>
          </cell>
          <cell r="O301">
            <v>0</v>
          </cell>
          <cell r="P301">
            <v>0</v>
          </cell>
        </row>
        <row r="302">
          <cell r="C302" t="str">
            <v xml:space="preserve"> 2745 Plan:   981 000 26/04/02 14:24  DET  pro=061 do  =AMA***********cession*********             </v>
          </cell>
          <cell r="E302">
            <v>0</v>
          </cell>
          <cell r="F302">
            <v>71637</v>
          </cell>
          <cell r="G302">
            <v>0</v>
          </cell>
          <cell r="H302">
            <v>71637</v>
          </cell>
          <cell r="I302">
            <v>0</v>
          </cell>
          <cell r="J302">
            <v>0</v>
          </cell>
          <cell r="K302">
            <v>79596</v>
          </cell>
          <cell r="L302">
            <v>0</v>
          </cell>
          <cell r="M302">
            <v>0</v>
          </cell>
          <cell r="N302">
            <v>79596</v>
          </cell>
          <cell r="O302">
            <v>0</v>
          </cell>
          <cell r="P302">
            <v>0</v>
          </cell>
        </row>
        <row r="303">
          <cell r="C303" t="str">
            <v xml:space="preserve"> 2746 Plan:   981 000 26/04/02 14:24  DET  pro=072 do  =AMA***********cession*********             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C304" t="str">
            <v xml:space="preserve"> 2747 Plan:   981 000 26/04/02 14:24  DET  pro=075 do  =AMA***********cession*********             </v>
          </cell>
          <cell r="E304">
            <v>0</v>
          </cell>
          <cell r="F304">
            <v>10262</v>
          </cell>
          <cell r="G304">
            <v>0</v>
          </cell>
          <cell r="H304">
            <v>10262</v>
          </cell>
          <cell r="I304">
            <v>0</v>
          </cell>
          <cell r="J304">
            <v>0</v>
          </cell>
          <cell r="K304">
            <v>12543</v>
          </cell>
          <cell r="L304">
            <v>0</v>
          </cell>
          <cell r="M304">
            <v>0</v>
          </cell>
          <cell r="N304">
            <v>13683</v>
          </cell>
          <cell r="O304">
            <v>0</v>
          </cell>
          <cell r="P304">
            <v>0</v>
          </cell>
        </row>
        <row r="305">
          <cell r="C305" t="str">
            <v xml:space="preserve"> 2748 Plan:   981 000 26/04/02 14:24  DET  pro=076 do  =AMA***********cession*********             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1448</v>
          </cell>
          <cell r="N305">
            <v>0</v>
          </cell>
          <cell r="O305">
            <v>1448</v>
          </cell>
          <cell r="P305">
            <v>724</v>
          </cell>
        </row>
        <row r="306">
          <cell r="C306" t="str">
            <v xml:space="preserve"> 2749 Plan:   981 000 26/04/02 14:24  DET  pro=077 do  =AMA***********cession*********             </v>
          </cell>
          <cell r="E306">
            <v>0</v>
          </cell>
          <cell r="F306">
            <v>1538</v>
          </cell>
          <cell r="G306">
            <v>0</v>
          </cell>
          <cell r="H306">
            <v>0</v>
          </cell>
          <cell r="I306">
            <v>3076</v>
          </cell>
          <cell r="J306">
            <v>0</v>
          </cell>
          <cell r="K306">
            <v>0</v>
          </cell>
          <cell r="L306">
            <v>0</v>
          </cell>
          <cell r="M306">
            <v>1538</v>
          </cell>
          <cell r="N306">
            <v>0</v>
          </cell>
          <cell r="O306">
            <v>1538</v>
          </cell>
          <cell r="P306">
            <v>0</v>
          </cell>
        </row>
        <row r="307">
          <cell r="C307" t="str">
            <v xml:space="preserve"> 2750 Plan:   981 000 26/04/02 14:24  DET  pro=078 do  =AMA***********cession*********             </v>
          </cell>
          <cell r="E307">
            <v>12959</v>
          </cell>
          <cell r="F307">
            <v>6480</v>
          </cell>
          <cell r="G307">
            <v>0</v>
          </cell>
          <cell r="H307">
            <v>19439</v>
          </cell>
          <cell r="I307">
            <v>6480</v>
          </cell>
          <cell r="J307">
            <v>3240</v>
          </cell>
          <cell r="K307">
            <v>3240</v>
          </cell>
          <cell r="L307">
            <v>12959</v>
          </cell>
          <cell r="M307">
            <v>3240</v>
          </cell>
          <cell r="N307">
            <v>6480</v>
          </cell>
          <cell r="O307">
            <v>9720</v>
          </cell>
          <cell r="P307">
            <v>12959</v>
          </cell>
        </row>
        <row r="308">
          <cell r="C308" t="str">
            <v xml:space="preserve"> 2751 Plan:   981 000 26/04/02 14:24  DET  pro=079 do  =AMA***********cession*********             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09">
          <cell r="C309" t="str">
            <v xml:space="preserve"> 2752 Plan:   981 000 26/04/02 14:24  DET  pro=155 do  =AMA***********cession*********             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C310" t="str">
            <v xml:space="preserve"> 2753 Plan:   981 000 26/04/02 14:24  DET  pro=171 do  =AMA***********cession*********             </v>
          </cell>
          <cell r="E310">
            <v>0</v>
          </cell>
          <cell r="F310">
            <v>57444</v>
          </cell>
          <cell r="G310">
            <v>57444</v>
          </cell>
          <cell r="H310">
            <v>57444</v>
          </cell>
          <cell r="I310">
            <v>57444</v>
          </cell>
          <cell r="J310">
            <v>57444</v>
          </cell>
          <cell r="K310">
            <v>57444</v>
          </cell>
          <cell r="L310">
            <v>19148</v>
          </cell>
          <cell r="M310">
            <v>57444</v>
          </cell>
          <cell r="N310">
            <v>57444</v>
          </cell>
          <cell r="O310">
            <v>57444</v>
          </cell>
          <cell r="P310">
            <v>57444</v>
          </cell>
        </row>
        <row r="311">
          <cell r="C311" t="str">
            <v xml:space="preserve"> 2754 Plan:   981 000 26/04/02 14:24  DET  pro=214 do  =AMA***********cession*********             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10801</v>
          </cell>
          <cell r="O311">
            <v>0</v>
          </cell>
          <cell r="P311">
            <v>0</v>
          </cell>
        </row>
        <row r="312">
          <cell r="C312" t="str">
            <v xml:space="preserve"> 2755 Plan:   981 000 26/04/02 14:24  DET  pro=215 do  =AMA***********cession*********             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5224</v>
          </cell>
          <cell r="O312">
            <v>0</v>
          </cell>
          <cell r="P312">
            <v>0</v>
          </cell>
        </row>
        <row r="313">
          <cell r="C313" t="str">
            <v xml:space="preserve"> 2756 Plan:   981 000 26/04/02 14:24  DET  pro=218 do  =AMA***********cession*********             </v>
          </cell>
          <cell r="E313">
            <v>0</v>
          </cell>
          <cell r="F313">
            <v>0</v>
          </cell>
          <cell r="G313">
            <v>8422</v>
          </cell>
          <cell r="H313">
            <v>8422</v>
          </cell>
          <cell r="I313">
            <v>8422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8422</v>
          </cell>
          <cell r="O313">
            <v>8422</v>
          </cell>
          <cell r="P313">
            <v>0</v>
          </cell>
        </row>
        <row r="314">
          <cell r="C314" t="str">
            <v xml:space="preserve"> 2757 Plan:   981 000 26/04/02 14:24  DET  pro=219 do  =AMA***********cession*********             </v>
          </cell>
          <cell r="E314">
            <v>0</v>
          </cell>
          <cell r="F314">
            <v>0</v>
          </cell>
          <cell r="G314">
            <v>12056</v>
          </cell>
          <cell r="H314">
            <v>12056</v>
          </cell>
          <cell r="I314">
            <v>12056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12056</v>
          </cell>
          <cell r="O314">
            <v>12056</v>
          </cell>
          <cell r="P314">
            <v>0</v>
          </cell>
        </row>
        <row r="315">
          <cell r="C315" t="str">
            <v xml:space="preserve"> 2758 Plan:   981 000 26/04/02 14:24  DET  pro=953 do  =AMA***********cession*********             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</row>
        <row r="316">
          <cell r="C316" t="str">
            <v xml:space="preserve"> 2759 Plan:   983 000 26/04/02 14:24  DET  pro=100 do  =APN***********cession*********             </v>
          </cell>
          <cell r="E316">
            <v>0</v>
          </cell>
          <cell r="F316">
            <v>82680</v>
          </cell>
          <cell r="G316">
            <v>79500</v>
          </cell>
          <cell r="H316">
            <v>76320</v>
          </cell>
          <cell r="I316">
            <v>66780</v>
          </cell>
          <cell r="J316">
            <v>69165</v>
          </cell>
          <cell r="K316">
            <v>50085</v>
          </cell>
          <cell r="L316">
            <v>63600</v>
          </cell>
          <cell r="M316">
            <v>63600</v>
          </cell>
          <cell r="N316">
            <v>72345</v>
          </cell>
          <cell r="O316">
            <v>71550</v>
          </cell>
          <cell r="P316">
            <v>54855</v>
          </cell>
        </row>
        <row r="317">
          <cell r="C317" t="str">
            <v xml:space="preserve"> 2760 Plan:   983 000 26/04/02 14:24  DET  pro=101 do  =APN***********cession*********             </v>
          </cell>
          <cell r="E317">
            <v>0</v>
          </cell>
          <cell r="F317">
            <v>25080</v>
          </cell>
          <cell r="G317">
            <v>21660</v>
          </cell>
          <cell r="H317">
            <v>4560</v>
          </cell>
          <cell r="I317">
            <v>0</v>
          </cell>
          <cell r="J317">
            <v>13680</v>
          </cell>
          <cell r="K317">
            <v>15960</v>
          </cell>
          <cell r="L317">
            <v>14820</v>
          </cell>
          <cell r="M317">
            <v>26220</v>
          </cell>
          <cell r="N317">
            <v>23940</v>
          </cell>
          <cell r="O317">
            <v>21660</v>
          </cell>
          <cell r="P317">
            <v>17100</v>
          </cell>
        </row>
        <row r="318">
          <cell r="C318" t="str">
            <v xml:space="preserve"> 2761 Plan:   983 000 26/04/02 14:24  DET  pro=102 do  =APN***********cession*********             </v>
          </cell>
          <cell r="E318">
            <v>1140</v>
          </cell>
          <cell r="F318">
            <v>13680</v>
          </cell>
          <cell r="G318">
            <v>7980</v>
          </cell>
          <cell r="H318">
            <v>4560</v>
          </cell>
          <cell r="I318">
            <v>7980</v>
          </cell>
          <cell r="J318">
            <v>3420</v>
          </cell>
          <cell r="K318">
            <v>4560</v>
          </cell>
          <cell r="L318">
            <v>4560</v>
          </cell>
          <cell r="M318">
            <v>3420</v>
          </cell>
          <cell r="N318">
            <v>3420</v>
          </cell>
          <cell r="O318">
            <v>2280</v>
          </cell>
          <cell r="P318">
            <v>1140</v>
          </cell>
        </row>
        <row r="319">
          <cell r="C319" t="str">
            <v xml:space="preserve"> 2762 Plan:   983 000 26/04/02 14:24  DET  pro=150 do  =APN***********cession*********             </v>
          </cell>
          <cell r="E319">
            <v>0</v>
          </cell>
          <cell r="F319">
            <v>21800</v>
          </cell>
          <cell r="G319">
            <v>17440</v>
          </cell>
          <cell r="H319">
            <v>39240</v>
          </cell>
          <cell r="I319">
            <v>17440</v>
          </cell>
          <cell r="J319">
            <v>4360</v>
          </cell>
          <cell r="K319">
            <v>17440</v>
          </cell>
          <cell r="L319">
            <v>17440</v>
          </cell>
          <cell r="M319">
            <v>13080</v>
          </cell>
          <cell r="N319">
            <v>8720</v>
          </cell>
          <cell r="O319">
            <v>8720</v>
          </cell>
          <cell r="P319">
            <v>21800</v>
          </cell>
        </row>
        <row r="320">
          <cell r="C320" t="str">
            <v xml:space="preserve"> 2763 Plan:   984 000 26/04/02 14:24  DET  pro=014 do  =ARA***********cession*********             </v>
          </cell>
          <cell r="E320">
            <v>0</v>
          </cell>
          <cell r="F320">
            <v>5500</v>
          </cell>
          <cell r="G320">
            <v>0</v>
          </cell>
          <cell r="H320">
            <v>5500</v>
          </cell>
          <cell r="I320">
            <v>0</v>
          </cell>
          <cell r="J320">
            <v>0</v>
          </cell>
          <cell r="K320">
            <v>0</v>
          </cell>
          <cell r="L320">
            <v>5500</v>
          </cell>
          <cell r="M320">
            <v>11000</v>
          </cell>
          <cell r="N320">
            <v>16500</v>
          </cell>
          <cell r="O320">
            <v>16500</v>
          </cell>
          <cell r="P320">
            <v>16500</v>
          </cell>
        </row>
        <row r="321">
          <cell r="C321" t="str">
            <v xml:space="preserve"> 2764 Plan:   984 000 26/04/02 14:24  DET  pro=015 do  =ARA***********cession*********             </v>
          </cell>
          <cell r="E321">
            <v>0</v>
          </cell>
          <cell r="F321">
            <v>0</v>
          </cell>
          <cell r="G321">
            <v>0</v>
          </cell>
          <cell r="H321">
            <v>5500</v>
          </cell>
          <cell r="I321">
            <v>0</v>
          </cell>
          <cell r="J321">
            <v>0</v>
          </cell>
          <cell r="K321">
            <v>0</v>
          </cell>
          <cell r="L321">
            <v>5500</v>
          </cell>
          <cell r="M321">
            <v>11000</v>
          </cell>
          <cell r="N321">
            <v>16500</v>
          </cell>
          <cell r="O321">
            <v>16500</v>
          </cell>
          <cell r="P321">
            <v>16500</v>
          </cell>
        </row>
        <row r="322">
          <cell r="C322" t="str">
            <v xml:space="preserve"> 2765 Plan:   984 000 26/04/02 14:24  DET  pro=016 do  =ARA***********cession*********             </v>
          </cell>
          <cell r="E322">
            <v>0</v>
          </cell>
          <cell r="F322">
            <v>5500</v>
          </cell>
          <cell r="G322">
            <v>0</v>
          </cell>
          <cell r="H322">
            <v>5500</v>
          </cell>
          <cell r="I322">
            <v>0</v>
          </cell>
          <cell r="J322">
            <v>0</v>
          </cell>
          <cell r="K322">
            <v>0</v>
          </cell>
          <cell r="L322">
            <v>5500</v>
          </cell>
          <cell r="M322">
            <v>11000</v>
          </cell>
          <cell r="N322">
            <v>16500</v>
          </cell>
          <cell r="O322">
            <v>16500</v>
          </cell>
          <cell r="P322">
            <v>16500</v>
          </cell>
        </row>
        <row r="323">
          <cell r="C323" t="str">
            <v xml:space="preserve"> 2766 Plan:   984 000 26/04/02 14:24  DET  pro=206 do  =ARA***********cession*********             </v>
          </cell>
          <cell r="E323">
            <v>0</v>
          </cell>
          <cell r="F323">
            <v>0</v>
          </cell>
          <cell r="G323">
            <v>20153</v>
          </cell>
          <cell r="H323">
            <v>23032</v>
          </cell>
          <cell r="I323">
            <v>0</v>
          </cell>
          <cell r="J323">
            <v>0</v>
          </cell>
          <cell r="K323">
            <v>0</v>
          </cell>
          <cell r="L323">
            <v>14395</v>
          </cell>
          <cell r="M323">
            <v>17274</v>
          </cell>
          <cell r="N323">
            <v>20153</v>
          </cell>
          <cell r="O323">
            <v>17274</v>
          </cell>
          <cell r="P323">
            <v>0</v>
          </cell>
        </row>
        <row r="324">
          <cell r="C324" t="str">
            <v xml:space="preserve"> 2767 Plan:   984 000 26/04/02 14:24  DET  pro=207 do  =ARA***********cession*********             </v>
          </cell>
          <cell r="E324">
            <v>0</v>
          </cell>
          <cell r="F324">
            <v>2744</v>
          </cell>
          <cell r="G324">
            <v>32928</v>
          </cell>
          <cell r="H324">
            <v>5488</v>
          </cell>
          <cell r="I324">
            <v>0</v>
          </cell>
          <cell r="J324">
            <v>0</v>
          </cell>
          <cell r="K324">
            <v>10976</v>
          </cell>
          <cell r="L324">
            <v>16464</v>
          </cell>
          <cell r="M324">
            <v>10976</v>
          </cell>
          <cell r="N324">
            <v>10976</v>
          </cell>
          <cell r="O324">
            <v>16464</v>
          </cell>
          <cell r="P324">
            <v>8232</v>
          </cell>
        </row>
        <row r="325">
          <cell r="C325" t="str">
            <v xml:space="preserve"> 2768 Plan:   984 000 26/04/02 14:24  DET  pro=208 do  =ARA***********cession*********             </v>
          </cell>
          <cell r="E325">
            <v>0</v>
          </cell>
          <cell r="F325">
            <v>0</v>
          </cell>
          <cell r="G325">
            <v>43997</v>
          </cell>
          <cell r="H325">
            <v>0</v>
          </cell>
          <cell r="I325">
            <v>8799</v>
          </cell>
          <cell r="J325">
            <v>21998</v>
          </cell>
          <cell r="K325">
            <v>4400</v>
          </cell>
          <cell r="L325">
            <v>30798</v>
          </cell>
          <cell r="M325">
            <v>8799</v>
          </cell>
          <cell r="N325">
            <v>21998</v>
          </cell>
          <cell r="O325">
            <v>4400</v>
          </cell>
          <cell r="P325">
            <v>17599</v>
          </cell>
        </row>
        <row r="326">
          <cell r="C326" t="str">
            <v xml:space="preserve"> 2769 Plan:   984 000 26/04/02 14:24  DET  pro=209 do  =ARA***********cession*********             </v>
          </cell>
          <cell r="E326">
            <v>0</v>
          </cell>
          <cell r="F326">
            <v>7028</v>
          </cell>
          <cell r="G326">
            <v>6024</v>
          </cell>
          <cell r="H326">
            <v>5020</v>
          </cell>
          <cell r="I326">
            <v>4016</v>
          </cell>
          <cell r="J326">
            <v>4016</v>
          </cell>
          <cell r="K326">
            <v>4016</v>
          </cell>
          <cell r="L326">
            <v>6024</v>
          </cell>
          <cell r="M326">
            <v>4016</v>
          </cell>
          <cell r="N326">
            <v>4016</v>
          </cell>
          <cell r="O326">
            <v>4016</v>
          </cell>
          <cell r="P326">
            <v>3012</v>
          </cell>
        </row>
        <row r="327">
          <cell r="C327" t="str">
            <v xml:space="preserve"> 2770 Plan:   984 000 26/04/02 14:24  DET  pro=213 do  =ARA***********cession*********             </v>
          </cell>
          <cell r="E327">
            <v>0</v>
          </cell>
          <cell r="F327">
            <v>0</v>
          </cell>
          <cell r="G327">
            <v>5758</v>
          </cell>
          <cell r="H327">
            <v>17275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2879</v>
          </cell>
          <cell r="O327">
            <v>2879</v>
          </cell>
          <cell r="P327">
            <v>0</v>
          </cell>
        </row>
        <row r="328">
          <cell r="C328" t="str">
            <v xml:space="preserve"> 2771 Plan:   986 000 26/04/02 14:24  DET  pro=300 do  =CAL***********cession*********             </v>
          </cell>
          <cell r="E328">
            <v>0</v>
          </cell>
          <cell r="F328">
            <v>24284</v>
          </cell>
          <cell r="G328">
            <v>14010</v>
          </cell>
          <cell r="H328">
            <v>0</v>
          </cell>
          <cell r="I328">
            <v>0</v>
          </cell>
          <cell r="J328">
            <v>5604</v>
          </cell>
          <cell r="K328">
            <v>2802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C329" t="str">
            <v xml:space="preserve"> 2772 Plan:   986 000 26/04/02 14:24  DET  pro=305 do  =CAL***********cession*********             </v>
          </cell>
          <cell r="E329">
            <v>98628</v>
          </cell>
          <cell r="F329">
            <v>87670</v>
          </cell>
          <cell r="G329">
            <v>131505</v>
          </cell>
          <cell r="H329">
            <v>100272</v>
          </cell>
          <cell r="I329">
            <v>109587</v>
          </cell>
          <cell r="J329">
            <v>198901</v>
          </cell>
          <cell r="K329">
            <v>155614</v>
          </cell>
          <cell r="L329">
            <v>79451</v>
          </cell>
          <cell r="M329">
            <v>144107</v>
          </cell>
          <cell r="N329">
            <v>144655</v>
          </cell>
          <cell r="O329">
            <v>100820</v>
          </cell>
          <cell r="P329">
            <v>122738</v>
          </cell>
        </row>
        <row r="330">
          <cell r="C330" t="str">
            <v xml:space="preserve"> 2773 Plan:   986 000 26/04/02 14:24  DET  pro=307 do  =CAL***********cession*********             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C331" t="str">
            <v xml:space="preserve"> 2774 Plan:   986 000 26/04/02 14:24  DET  pro=310 do  =CAL***********cession*********             </v>
          </cell>
          <cell r="E331">
            <v>7048</v>
          </cell>
          <cell r="F331">
            <v>10572</v>
          </cell>
          <cell r="G331">
            <v>881</v>
          </cell>
          <cell r="H331">
            <v>0</v>
          </cell>
          <cell r="I331">
            <v>4405</v>
          </cell>
          <cell r="J331">
            <v>4405</v>
          </cell>
          <cell r="K331">
            <v>0</v>
          </cell>
          <cell r="L331">
            <v>4405</v>
          </cell>
          <cell r="M331">
            <v>4405</v>
          </cell>
          <cell r="N331">
            <v>4405</v>
          </cell>
          <cell r="O331">
            <v>0</v>
          </cell>
          <cell r="P331">
            <v>4405</v>
          </cell>
        </row>
        <row r="332">
          <cell r="C332" t="str">
            <v xml:space="preserve"> 2775 Plan:   986 000 26/04/02 14:24  DET  pro=312 do  =CAL***********cession*********             </v>
          </cell>
          <cell r="E332">
            <v>0</v>
          </cell>
          <cell r="F332">
            <v>8316</v>
          </cell>
          <cell r="G332">
            <v>0</v>
          </cell>
          <cell r="H332">
            <v>9702</v>
          </cell>
          <cell r="I332">
            <v>5544</v>
          </cell>
          <cell r="J332">
            <v>1386</v>
          </cell>
          <cell r="K332">
            <v>12474</v>
          </cell>
          <cell r="L332">
            <v>0</v>
          </cell>
          <cell r="M332">
            <v>8316</v>
          </cell>
          <cell r="N332">
            <v>4158</v>
          </cell>
          <cell r="O332">
            <v>0</v>
          </cell>
          <cell r="P332">
            <v>12474</v>
          </cell>
        </row>
        <row r="333">
          <cell r="C333" t="str">
            <v xml:space="preserve"> 2776 Plan:   986 000 26/04/02 14:24  DET  pro=315 do  =CAL***********cession*********             </v>
          </cell>
          <cell r="E333">
            <v>16300</v>
          </cell>
          <cell r="F333">
            <v>17930</v>
          </cell>
          <cell r="G333">
            <v>24450</v>
          </cell>
          <cell r="H333">
            <v>16300</v>
          </cell>
          <cell r="I333">
            <v>0</v>
          </cell>
          <cell r="J333">
            <v>24450</v>
          </cell>
          <cell r="K333">
            <v>16300</v>
          </cell>
          <cell r="L333">
            <v>0</v>
          </cell>
          <cell r="M333">
            <v>16300</v>
          </cell>
          <cell r="N333">
            <v>8150</v>
          </cell>
          <cell r="O333">
            <v>8150</v>
          </cell>
          <cell r="P333">
            <v>8150</v>
          </cell>
        </row>
        <row r="334">
          <cell r="C334" t="str">
            <v xml:space="preserve"> 2777 Plan:   986 000 26/04/02 14:24  DET  pro=320 do  =CAL***********cession*********             </v>
          </cell>
          <cell r="E334">
            <v>20587</v>
          </cell>
          <cell r="F334">
            <v>3633</v>
          </cell>
          <cell r="G334">
            <v>1211</v>
          </cell>
          <cell r="H334">
            <v>24220</v>
          </cell>
          <cell r="I334">
            <v>12110</v>
          </cell>
          <cell r="J334">
            <v>12110</v>
          </cell>
          <cell r="K334">
            <v>24220</v>
          </cell>
          <cell r="L334">
            <v>12110</v>
          </cell>
          <cell r="M334">
            <v>13321</v>
          </cell>
          <cell r="N334">
            <v>24220</v>
          </cell>
          <cell r="O334">
            <v>0</v>
          </cell>
          <cell r="P334">
            <v>24220</v>
          </cell>
        </row>
        <row r="335">
          <cell r="C335" t="str">
            <v xml:space="preserve"> 2778 Plan:   986 000 26/04/02 14:24  DET  pro=325 do  =CAL***********cession*********             </v>
          </cell>
          <cell r="E335">
            <v>52103</v>
          </cell>
          <cell r="F335">
            <v>95274</v>
          </cell>
          <cell r="G335">
            <v>89320</v>
          </cell>
          <cell r="H335">
            <v>122070</v>
          </cell>
          <cell r="I335">
            <v>44660</v>
          </cell>
          <cell r="J335">
            <v>90808</v>
          </cell>
          <cell r="K335">
            <v>105695</v>
          </cell>
          <cell r="L335">
            <v>1489</v>
          </cell>
          <cell r="M335">
            <v>135468</v>
          </cell>
          <cell r="N335">
            <v>105695</v>
          </cell>
          <cell r="O335">
            <v>1489</v>
          </cell>
          <cell r="P335">
            <v>90808</v>
          </cell>
        </row>
        <row r="336">
          <cell r="C336" t="str">
            <v xml:space="preserve"> 2779 Plan:   986 000 26/04/02 14:24  DET  pro=330 do  =CAL***********cession*********             </v>
          </cell>
          <cell r="E336">
            <v>4170</v>
          </cell>
          <cell r="F336">
            <v>6950</v>
          </cell>
          <cell r="G336">
            <v>0</v>
          </cell>
          <cell r="H336">
            <v>4170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2780</v>
          </cell>
          <cell r="O336">
            <v>0</v>
          </cell>
          <cell r="P336">
            <v>0</v>
          </cell>
        </row>
        <row r="337">
          <cell r="C337" t="str">
            <v xml:space="preserve"> 2780 Plan:   986 000 26/04/02 14:24  DET  pro=340 do  =CAL***********cession*********             </v>
          </cell>
          <cell r="E337">
            <v>18954</v>
          </cell>
          <cell r="F337">
            <v>29160</v>
          </cell>
          <cell r="G337">
            <v>29160</v>
          </cell>
          <cell r="H337">
            <v>29160</v>
          </cell>
          <cell r="I337">
            <v>0</v>
          </cell>
          <cell r="J337">
            <v>0</v>
          </cell>
          <cell r="K337">
            <v>0</v>
          </cell>
          <cell r="L337">
            <v>14580</v>
          </cell>
          <cell r="M337">
            <v>43740</v>
          </cell>
          <cell r="N337">
            <v>43740</v>
          </cell>
          <cell r="O337">
            <v>0</v>
          </cell>
          <cell r="P337">
            <v>0</v>
          </cell>
        </row>
        <row r="338">
          <cell r="C338" t="str">
            <v xml:space="preserve"> 2781 Plan:   986 000 26/04/02 14:24  DET  pro=345 do  =CAL***********cession*********             </v>
          </cell>
          <cell r="E338">
            <v>11980</v>
          </cell>
          <cell r="F338">
            <v>0</v>
          </cell>
          <cell r="G338">
            <v>5990</v>
          </cell>
          <cell r="H338">
            <v>5990</v>
          </cell>
          <cell r="I338">
            <v>5990</v>
          </cell>
          <cell r="J338">
            <v>0</v>
          </cell>
          <cell r="K338">
            <v>0</v>
          </cell>
          <cell r="L338">
            <v>5990</v>
          </cell>
          <cell r="M338">
            <v>5990</v>
          </cell>
          <cell r="N338">
            <v>0</v>
          </cell>
          <cell r="O338">
            <v>0</v>
          </cell>
          <cell r="P338">
            <v>11980</v>
          </cell>
        </row>
        <row r="339">
          <cell r="C339" t="str">
            <v xml:space="preserve"> 2782 Plan:   987 000 26/04/02 14:24  DET  pro=018 do  =HEL***********cession*********             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</row>
        <row r="340">
          <cell r="C340" t="str">
            <v xml:space="preserve"> 2783 Plan:   987 000 26/04/02 14:24  DET  pro=025 do  =HEL***********cession*********             </v>
          </cell>
          <cell r="E340">
            <v>0</v>
          </cell>
          <cell r="F340">
            <v>0</v>
          </cell>
          <cell r="G340">
            <v>75800</v>
          </cell>
          <cell r="H340">
            <v>227400</v>
          </cell>
          <cell r="I340">
            <v>0</v>
          </cell>
          <cell r="J340">
            <v>0</v>
          </cell>
          <cell r="K340">
            <v>151600</v>
          </cell>
          <cell r="L340">
            <v>0</v>
          </cell>
          <cell r="M340">
            <v>151600</v>
          </cell>
          <cell r="N340">
            <v>75800</v>
          </cell>
          <cell r="O340">
            <v>151600</v>
          </cell>
          <cell r="P340">
            <v>0</v>
          </cell>
        </row>
        <row r="341">
          <cell r="C341" t="str">
            <v xml:space="preserve"> 2784 Plan:   987 000 26/04/02 14:24  DET  pro=074 do  =HEL***********cession*********             </v>
          </cell>
          <cell r="E341">
            <v>0</v>
          </cell>
          <cell r="F341">
            <v>0</v>
          </cell>
          <cell r="G341">
            <v>2530</v>
          </cell>
          <cell r="H341">
            <v>7590</v>
          </cell>
          <cell r="I341">
            <v>0</v>
          </cell>
          <cell r="J341">
            <v>0</v>
          </cell>
          <cell r="K341">
            <v>5060</v>
          </cell>
          <cell r="L341">
            <v>0</v>
          </cell>
          <cell r="M341">
            <v>5060</v>
          </cell>
          <cell r="N341">
            <v>2530</v>
          </cell>
          <cell r="O341">
            <v>2530</v>
          </cell>
          <cell r="P341">
            <v>0</v>
          </cell>
        </row>
        <row r="342">
          <cell r="C342" t="str">
            <v xml:space="preserve"> 2785 Plan:   987 000 26/04/02 14:24  DET  pro=198 do  =HEL***********cession*********             </v>
          </cell>
          <cell r="E342">
            <v>6444</v>
          </cell>
          <cell r="F342">
            <v>4833</v>
          </cell>
          <cell r="G342">
            <v>19332</v>
          </cell>
          <cell r="H342">
            <v>16110</v>
          </cell>
          <cell r="I342">
            <v>0</v>
          </cell>
          <cell r="J342">
            <v>6444</v>
          </cell>
          <cell r="K342">
            <v>4833</v>
          </cell>
          <cell r="L342">
            <v>1611</v>
          </cell>
          <cell r="M342">
            <v>6444</v>
          </cell>
          <cell r="N342">
            <v>6444</v>
          </cell>
          <cell r="O342">
            <v>6444</v>
          </cell>
          <cell r="P342">
            <v>6444</v>
          </cell>
        </row>
        <row r="343">
          <cell r="C343" t="str">
            <v xml:space="preserve"> 2786 Plan:   987 000 26/04/02 14:24  DET  pro=199 do  =HEL***********cession*********             </v>
          </cell>
          <cell r="E343">
            <v>0</v>
          </cell>
          <cell r="F343">
            <v>0</v>
          </cell>
          <cell r="G343">
            <v>0</v>
          </cell>
          <cell r="H343">
            <v>20122</v>
          </cell>
          <cell r="I343">
            <v>15091</v>
          </cell>
          <cell r="J343">
            <v>0</v>
          </cell>
          <cell r="K343">
            <v>20122</v>
          </cell>
          <cell r="L343">
            <v>10061</v>
          </cell>
          <cell r="M343">
            <v>5030</v>
          </cell>
          <cell r="N343">
            <v>0</v>
          </cell>
          <cell r="O343">
            <v>20122</v>
          </cell>
          <cell r="P343">
            <v>5030</v>
          </cell>
        </row>
        <row r="344">
          <cell r="C344" t="str">
            <v xml:space="preserve"> 2787 Plan:   987 000 26/04/02 14:24  DET  pro=200 do  =HEL***********cession*********             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28664</v>
          </cell>
          <cell r="O344">
            <v>28664</v>
          </cell>
          <cell r="P344">
            <v>28664</v>
          </cell>
        </row>
        <row r="345">
          <cell r="C345" t="str">
            <v xml:space="preserve"> 2788 Plan:   987 000 26/04/02 14:24  DET  pro=201 do  =HEL***********cession*********             </v>
          </cell>
          <cell r="E345">
            <v>20360</v>
          </cell>
          <cell r="F345">
            <v>30540</v>
          </cell>
          <cell r="G345">
            <v>79404</v>
          </cell>
          <cell r="H345">
            <v>59044</v>
          </cell>
          <cell r="I345">
            <v>44792</v>
          </cell>
          <cell r="J345">
            <v>54972</v>
          </cell>
          <cell r="K345">
            <v>38684</v>
          </cell>
          <cell r="L345">
            <v>34612</v>
          </cell>
          <cell r="M345">
            <v>44792</v>
          </cell>
          <cell r="N345">
            <v>24432</v>
          </cell>
          <cell r="O345">
            <v>40720</v>
          </cell>
          <cell r="P345">
            <v>14252</v>
          </cell>
        </row>
        <row r="346">
          <cell r="C346" t="str">
            <v xml:space="preserve"> 2789 Plan:   987 000 26/04/02 14:24  DET  pro=202 do  =HEL***********cession*********             </v>
          </cell>
          <cell r="E346">
            <v>0</v>
          </cell>
          <cell r="F346">
            <v>4150</v>
          </cell>
          <cell r="G346">
            <v>12450</v>
          </cell>
          <cell r="H346">
            <v>16600</v>
          </cell>
          <cell r="I346">
            <v>0</v>
          </cell>
          <cell r="J346">
            <v>24900</v>
          </cell>
          <cell r="K346">
            <v>8300</v>
          </cell>
          <cell r="L346">
            <v>0</v>
          </cell>
          <cell r="M346">
            <v>8300</v>
          </cell>
          <cell r="N346">
            <v>0</v>
          </cell>
          <cell r="O346">
            <v>41500</v>
          </cell>
          <cell r="P346">
            <v>0</v>
          </cell>
        </row>
        <row r="347">
          <cell r="C347" t="str">
            <v xml:space="preserve"> 2790 Plan:   987 000 26/04/02 14:24  DET  pro=204 do  =HEL***********cession*********             </v>
          </cell>
          <cell r="E347">
            <v>0</v>
          </cell>
          <cell r="F347">
            <v>1211</v>
          </cell>
          <cell r="G347">
            <v>19376</v>
          </cell>
          <cell r="H347">
            <v>8477</v>
          </cell>
          <cell r="I347">
            <v>10899</v>
          </cell>
          <cell r="J347">
            <v>9688</v>
          </cell>
          <cell r="K347">
            <v>2422</v>
          </cell>
          <cell r="L347">
            <v>0</v>
          </cell>
          <cell r="M347">
            <v>0</v>
          </cell>
          <cell r="N347">
            <v>3633</v>
          </cell>
          <cell r="O347">
            <v>10899</v>
          </cell>
          <cell r="P347">
            <v>7266</v>
          </cell>
        </row>
        <row r="348">
          <cell r="C348" t="str">
            <v xml:space="preserve"> 2791 Plan:   987 000 26/04/02 14:24  DET  pro=205 do  =HEL***********cession*********             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4748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9496</v>
          </cell>
          <cell r="P348">
            <v>4748</v>
          </cell>
        </row>
        <row r="349">
          <cell r="C349" t="str">
            <v xml:space="preserve"> 2792 Plan:   988 000 26/04/02 14:24  DET  pro=398 do  =IHM***********cession*********             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</row>
        <row r="350">
          <cell r="C350" t="str">
            <v xml:space="preserve"> 2793 Plan:   988 000 26/04/02 14:24  DET  pro=400 do  =IHM***********cession*********             </v>
          </cell>
          <cell r="E350">
            <v>21564</v>
          </cell>
          <cell r="F350">
            <v>0</v>
          </cell>
          <cell r="G350">
            <v>21564</v>
          </cell>
          <cell r="H350">
            <v>21564</v>
          </cell>
          <cell r="I350">
            <v>21564</v>
          </cell>
          <cell r="J350">
            <v>43129</v>
          </cell>
          <cell r="K350">
            <v>21564</v>
          </cell>
          <cell r="L350">
            <v>0</v>
          </cell>
          <cell r="M350">
            <v>32347</v>
          </cell>
          <cell r="N350">
            <v>0</v>
          </cell>
          <cell r="O350">
            <v>21564</v>
          </cell>
          <cell r="P350">
            <v>0</v>
          </cell>
        </row>
        <row r="351">
          <cell r="C351" t="str">
            <v xml:space="preserve"> 2794 Plan:   989 000 26/04/02 14:24  DET  pro=047 do  =INT***********cession*********             </v>
          </cell>
          <cell r="E351">
            <v>352813</v>
          </cell>
          <cell r="F351">
            <v>352813</v>
          </cell>
          <cell r="G351">
            <v>352813</v>
          </cell>
          <cell r="H351">
            <v>352813</v>
          </cell>
          <cell r="I351">
            <v>352813</v>
          </cell>
          <cell r="J351">
            <v>352813</v>
          </cell>
          <cell r="K351">
            <v>352813</v>
          </cell>
          <cell r="L351">
            <v>302411</v>
          </cell>
          <cell r="M351">
            <v>352813</v>
          </cell>
          <cell r="N351">
            <v>352813</v>
          </cell>
          <cell r="O351">
            <v>352813</v>
          </cell>
          <cell r="P351">
            <v>352813</v>
          </cell>
        </row>
        <row r="352">
          <cell r="C352" t="str">
            <v xml:space="preserve"> 2795 Plan:   989 000 26/04/02 14:24  DET  pro=951 do  =INT***********cession*********             </v>
          </cell>
          <cell r="E352">
            <v>29546</v>
          </cell>
          <cell r="F352">
            <v>29546</v>
          </cell>
          <cell r="G352">
            <v>29546</v>
          </cell>
          <cell r="H352">
            <v>29546</v>
          </cell>
          <cell r="I352">
            <v>29546</v>
          </cell>
          <cell r="J352">
            <v>29546</v>
          </cell>
          <cell r="K352">
            <v>29546</v>
          </cell>
          <cell r="L352">
            <v>0</v>
          </cell>
          <cell r="M352">
            <v>29546</v>
          </cell>
          <cell r="N352">
            <v>29546</v>
          </cell>
          <cell r="O352">
            <v>29546</v>
          </cell>
          <cell r="P352">
            <v>29546</v>
          </cell>
        </row>
        <row r="353">
          <cell r="C353" t="str">
            <v xml:space="preserve"> 2796 Plan:   990 000 26/04/02 14:24  DET  pro=007 do  =NCH***********cession*********             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C354" t="str">
            <v xml:space="preserve"> 2797 Plan:   990 000 26/04/02 14:24  DET  pro=049 do  =NCH***********cession*********             </v>
          </cell>
          <cell r="E354">
            <v>0</v>
          </cell>
          <cell r="F354">
            <v>0</v>
          </cell>
          <cell r="G354">
            <v>0</v>
          </cell>
          <cell r="H354">
            <v>9486</v>
          </cell>
          <cell r="I354">
            <v>18973</v>
          </cell>
          <cell r="J354">
            <v>0</v>
          </cell>
          <cell r="K354">
            <v>18973</v>
          </cell>
          <cell r="L354">
            <v>0</v>
          </cell>
          <cell r="M354">
            <v>18973</v>
          </cell>
          <cell r="N354">
            <v>0</v>
          </cell>
          <cell r="O354">
            <v>18973</v>
          </cell>
          <cell r="P354">
            <v>28459</v>
          </cell>
        </row>
        <row r="355">
          <cell r="C355" t="str">
            <v xml:space="preserve"> 2798 Plan:   990 000 26/04/02 14:24  DET  pro=050 do  =NCH***********cession*********             </v>
          </cell>
          <cell r="E355">
            <v>0</v>
          </cell>
          <cell r="F355">
            <v>0</v>
          </cell>
          <cell r="G355">
            <v>0</v>
          </cell>
          <cell r="H355">
            <v>10623</v>
          </cell>
          <cell r="I355">
            <v>15935</v>
          </cell>
          <cell r="J355">
            <v>15935</v>
          </cell>
          <cell r="K355">
            <v>0</v>
          </cell>
          <cell r="L355">
            <v>15935</v>
          </cell>
          <cell r="M355">
            <v>15935</v>
          </cell>
          <cell r="N355">
            <v>0</v>
          </cell>
          <cell r="O355">
            <v>21247</v>
          </cell>
          <cell r="P355">
            <v>10623</v>
          </cell>
        </row>
        <row r="356">
          <cell r="C356" t="str">
            <v xml:space="preserve"> 2799 Plan:   990 000 26/04/02 14:24  DET  pro=098 do  =NCH***********cession*********             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C357" t="str">
            <v xml:space="preserve"> 2800 Plan:   990 000 26/04/02 14:24  DET  pro=099 do  =NCH***********cession*********             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</row>
        <row r="358">
          <cell r="C358" t="str">
            <v xml:space="preserve"> 2801 Plan:   990 000 26/04/02 14:24  DET  pro=220 do  =NCH***********cession*********             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C359" t="str">
            <v xml:space="preserve"> 2802 Plan:   990 000 26/04/02 14:24  DET  pro=221 do  =NCH***********cession*********             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</row>
        <row r="360">
          <cell r="C360" t="str">
            <v xml:space="preserve"> 2803 Plan:   990 000 26/04/02 14:24  DET  pro=50  do  =NCH***********cession*********             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C361" t="str">
            <v xml:space="preserve"> 2804 Plan:   990 000 26/04/02 14:24  DET  pro=806 do  =NCH***********cession*********             </v>
          </cell>
          <cell r="E361">
            <v>179538</v>
          </cell>
          <cell r="F361">
            <v>179538</v>
          </cell>
          <cell r="G361">
            <v>179538</v>
          </cell>
          <cell r="H361">
            <v>179538</v>
          </cell>
          <cell r="I361">
            <v>179538</v>
          </cell>
          <cell r="J361">
            <v>179538</v>
          </cell>
          <cell r="K361">
            <v>179538</v>
          </cell>
          <cell r="L361">
            <v>179538</v>
          </cell>
          <cell r="M361">
            <v>179538</v>
          </cell>
          <cell r="N361">
            <v>179538</v>
          </cell>
          <cell r="O361">
            <v>179538</v>
          </cell>
          <cell r="P361">
            <v>179538</v>
          </cell>
        </row>
        <row r="362">
          <cell r="C362" t="str">
            <v xml:space="preserve"> 2805 Plan:   990 000 26/04/02 14:24  DET  pro=820 do  =NCH***********cession*********             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</row>
        <row r="363">
          <cell r="C363" t="str">
            <v xml:space="preserve"> 2806 Plan:   990 000 26/04/02 14:24  DET  pro=850 do  =NCH***********cession*********             </v>
          </cell>
          <cell r="E363">
            <v>15528</v>
          </cell>
          <cell r="F363">
            <v>15528</v>
          </cell>
          <cell r="G363">
            <v>15528</v>
          </cell>
          <cell r="H363">
            <v>15528</v>
          </cell>
          <cell r="I363">
            <v>15528</v>
          </cell>
          <cell r="J363">
            <v>15528</v>
          </cell>
          <cell r="K363">
            <v>15528</v>
          </cell>
          <cell r="L363">
            <v>15528</v>
          </cell>
          <cell r="M363">
            <v>15528</v>
          </cell>
          <cell r="N363">
            <v>15528</v>
          </cell>
          <cell r="O363">
            <v>15528</v>
          </cell>
          <cell r="P363">
            <v>15528</v>
          </cell>
        </row>
        <row r="364">
          <cell r="C364" t="str">
            <v xml:space="preserve"> 2807 Plan:   990 000 26/04/02 14:24  DET  pro=851 do  =NCH***********cession*********             </v>
          </cell>
          <cell r="E364">
            <v>47612</v>
          </cell>
          <cell r="F364">
            <v>47612</v>
          </cell>
          <cell r="G364">
            <v>47612</v>
          </cell>
          <cell r="H364">
            <v>47612</v>
          </cell>
          <cell r="I364">
            <v>47612</v>
          </cell>
          <cell r="J364">
            <v>47612</v>
          </cell>
          <cell r="K364">
            <v>47612</v>
          </cell>
          <cell r="L364">
            <v>47612</v>
          </cell>
          <cell r="M364">
            <v>47612</v>
          </cell>
          <cell r="N364">
            <v>47612</v>
          </cell>
          <cell r="O364">
            <v>47612</v>
          </cell>
          <cell r="P364">
            <v>47612</v>
          </cell>
        </row>
        <row r="365">
          <cell r="C365" t="str">
            <v xml:space="preserve"> 2808 Plan:   990 000 26/04/02 14:24  DET  pro=852 do  =NCH***********cession*********             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</row>
        <row r="366">
          <cell r="C366" t="str">
            <v xml:space="preserve"> 2809 Plan:   990 000 26/04/02 14:24  DET  pro=853 do  =NCH***********cession*********             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</row>
        <row r="367">
          <cell r="C367" t="str">
            <v xml:space="preserve"> 2810 Plan:   990 000 26/04/02 14:24  DET  pro=854 do  =NCH***********cession*********             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</row>
        <row r="368">
          <cell r="C368" t="str">
            <v xml:space="preserve"> 2811 Plan:   990 000 26/04/02 14:24  DET  pro=855 do  =NCH***********cession*********             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</row>
        <row r="369">
          <cell r="C369" t="str">
            <v xml:space="preserve"> 2812 Plan:   990 000 26/04/02 14:24  DET  pro=952 do  =NCH***********cession*********             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</row>
        <row r="370">
          <cell r="C370" t="str">
            <v xml:space="preserve"> 2813 Plan:   990 000 26/04/02 14:24  DET  pro=954 do  =NCH***********cession*********             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C371" t="str">
            <v xml:space="preserve"> 2814 Plan:   990 000 26/04/02 14:24  DET  pro=955 do  =NCH***********cession*********             </v>
          </cell>
          <cell r="E371">
            <v>3780</v>
          </cell>
          <cell r="F371">
            <v>3780</v>
          </cell>
          <cell r="G371">
            <v>3780</v>
          </cell>
          <cell r="H371">
            <v>3780</v>
          </cell>
          <cell r="I371">
            <v>3780</v>
          </cell>
          <cell r="J371">
            <v>3780</v>
          </cell>
          <cell r="K371">
            <v>3780</v>
          </cell>
          <cell r="L371">
            <v>3780</v>
          </cell>
          <cell r="M371">
            <v>3780</v>
          </cell>
          <cell r="N371">
            <v>3780</v>
          </cell>
          <cell r="O371">
            <v>3780</v>
          </cell>
          <cell r="P371">
            <v>3780</v>
          </cell>
        </row>
        <row r="372">
          <cell r="C372" t="str">
            <v xml:space="preserve"> 2815 Plan:   990 000 26/04/02 14:24  DET  pro=956 do  =NCH***********cession*********             </v>
          </cell>
          <cell r="E372">
            <v>3780</v>
          </cell>
          <cell r="F372">
            <v>3780</v>
          </cell>
          <cell r="G372">
            <v>3780</v>
          </cell>
          <cell r="H372">
            <v>3780</v>
          </cell>
          <cell r="I372">
            <v>3780</v>
          </cell>
          <cell r="J372">
            <v>3780</v>
          </cell>
          <cell r="K372">
            <v>3780</v>
          </cell>
          <cell r="L372">
            <v>3780</v>
          </cell>
          <cell r="M372">
            <v>3780</v>
          </cell>
          <cell r="N372">
            <v>3780</v>
          </cell>
          <cell r="O372">
            <v>3780</v>
          </cell>
          <cell r="P372">
            <v>3780</v>
          </cell>
        </row>
        <row r="373">
          <cell r="C373" t="str">
            <v xml:space="preserve"> 2816 Plan:   990 000 26/04/02 14:24  DET  pro=957 do  =NCH***********cession*********             </v>
          </cell>
          <cell r="E373">
            <v>51030</v>
          </cell>
          <cell r="F373">
            <v>51030</v>
          </cell>
          <cell r="G373">
            <v>51030</v>
          </cell>
          <cell r="H373">
            <v>51030</v>
          </cell>
          <cell r="I373">
            <v>51030</v>
          </cell>
          <cell r="J373">
            <v>51030</v>
          </cell>
          <cell r="K373">
            <v>51030</v>
          </cell>
          <cell r="L373">
            <v>17010</v>
          </cell>
          <cell r="M373">
            <v>51030</v>
          </cell>
          <cell r="N373">
            <v>51030</v>
          </cell>
          <cell r="O373">
            <v>51030</v>
          </cell>
          <cell r="P373">
            <v>51030</v>
          </cell>
        </row>
        <row r="374">
          <cell r="C374" t="str">
            <v xml:space="preserve"> 2817 Plan:   990 000 26/04/02 14:24  DET  pro=958 do  =NCH***********cession*********             </v>
          </cell>
          <cell r="E374">
            <v>1502</v>
          </cell>
          <cell r="F374">
            <v>1502</v>
          </cell>
          <cell r="G374">
            <v>1502</v>
          </cell>
          <cell r="H374">
            <v>1964</v>
          </cell>
          <cell r="I374">
            <v>1502</v>
          </cell>
          <cell r="J374">
            <v>1502</v>
          </cell>
          <cell r="K374">
            <v>1502</v>
          </cell>
          <cell r="L374">
            <v>1502</v>
          </cell>
          <cell r="M374">
            <v>1502</v>
          </cell>
          <cell r="N374">
            <v>1502</v>
          </cell>
          <cell r="O374">
            <v>1502</v>
          </cell>
          <cell r="P374">
            <v>1502</v>
          </cell>
        </row>
        <row r="375">
          <cell r="C375" t="str">
            <v xml:space="preserve"> 2818 Plan:   990 000 26/04/02 14:24  DET  pro=959 do  =NCH***********cession*********             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102</v>
          </cell>
          <cell r="L375">
            <v>102</v>
          </cell>
          <cell r="M375">
            <v>102</v>
          </cell>
          <cell r="N375">
            <v>102</v>
          </cell>
          <cell r="O375">
            <v>102</v>
          </cell>
          <cell r="P375">
            <v>102</v>
          </cell>
        </row>
        <row r="376">
          <cell r="C376" t="str">
            <v xml:space="preserve"> 2819 Plan:   992 000 26/04/02 14:24  DET  pro=301 do  =SSU***********cession*********             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C377" t="str">
            <v xml:space="preserve"> 2820 Plan:   992 000 26/04/02 14:24  DET  pro=306 do  =SSU***********cession*********             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</row>
        <row r="378">
          <cell r="C378" t="str">
            <v xml:space="preserve"> 2821 Plan:   992 000 26/04/02 14:24  DET  pro=311 do  =SSU***********cession*********             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</row>
        <row r="379">
          <cell r="C379" t="str">
            <v xml:space="preserve"> 2822 Plan:   992 000 26/04/02 14:24  DET  pro=331 do  =SSU***********cession*********             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</row>
        <row r="380">
          <cell r="C380" t="str">
            <v xml:space="preserve"> 2823 Plan:   992 000 26/04/02 14:24  DET  pro=401 do  =SSU***********cession*********             </v>
          </cell>
          <cell r="E380">
            <v>0</v>
          </cell>
          <cell r="F380">
            <v>4171</v>
          </cell>
          <cell r="G380">
            <v>4171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4171</v>
          </cell>
          <cell r="N380">
            <v>4171</v>
          </cell>
          <cell r="O380">
            <v>8342</v>
          </cell>
          <cell r="P380">
            <v>4171</v>
          </cell>
        </row>
        <row r="381">
          <cell r="C381" t="str">
            <v xml:space="preserve"> 2824 Plan:   992 000 26/04/02 14:24  DET  pro=950 do  =SSU***********cession*********             </v>
          </cell>
          <cell r="E381">
            <v>45453</v>
          </cell>
          <cell r="F381">
            <v>45453</v>
          </cell>
          <cell r="G381">
            <v>45453</v>
          </cell>
          <cell r="H381">
            <v>45453</v>
          </cell>
          <cell r="I381">
            <v>45453</v>
          </cell>
          <cell r="J381">
            <v>45453</v>
          </cell>
          <cell r="K381">
            <v>45453</v>
          </cell>
          <cell r="L381">
            <v>0</v>
          </cell>
          <cell r="M381">
            <v>45453</v>
          </cell>
          <cell r="N381">
            <v>45453</v>
          </cell>
          <cell r="O381">
            <v>45453</v>
          </cell>
          <cell r="P381">
            <v>45453</v>
          </cell>
        </row>
        <row r="382">
          <cell r="C382" t="str">
            <v xml:space="preserve"> 2825 Plan:   993 000 26/04/02 14:24  DET  pro=071 do  =CPT***********cession*********             </v>
          </cell>
          <cell r="E382">
            <v>5852</v>
          </cell>
          <cell r="F382">
            <v>5852</v>
          </cell>
          <cell r="G382">
            <v>5852</v>
          </cell>
          <cell r="H382">
            <v>5852</v>
          </cell>
          <cell r="I382">
            <v>5852</v>
          </cell>
          <cell r="J382">
            <v>5852</v>
          </cell>
          <cell r="K382">
            <v>5852</v>
          </cell>
          <cell r="L382">
            <v>5852</v>
          </cell>
          <cell r="M382">
            <v>5852</v>
          </cell>
          <cell r="N382">
            <v>5852</v>
          </cell>
          <cell r="O382">
            <v>5852</v>
          </cell>
          <cell r="P382">
            <v>5852</v>
          </cell>
        </row>
        <row r="383">
          <cell r="C383" t="str">
            <v xml:space="preserve"> 2826 Plan:   994 000 26/04/02 14:24  DET  pro=032 do  =NAE***********cession*********             </v>
          </cell>
          <cell r="E383">
            <v>0</v>
          </cell>
          <cell r="F383">
            <v>220944</v>
          </cell>
          <cell r="G383">
            <v>110472</v>
          </cell>
          <cell r="H383">
            <v>0</v>
          </cell>
          <cell r="I383">
            <v>220944</v>
          </cell>
          <cell r="J383">
            <v>0</v>
          </cell>
          <cell r="K383">
            <v>220944</v>
          </cell>
          <cell r="L383">
            <v>0</v>
          </cell>
          <cell r="M383">
            <v>331416</v>
          </cell>
          <cell r="N383">
            <v>110472</v>
          </cell>
          <cell r="O383">
            <v>220944</v>
          </cell>
          <cell r="P383">
            <v>0</v>
          </cell>
        </row>
        <row r="384">
          <cell r="C384" t="str">
            <v xml:space="preserve"> 2827 Char:   995 000 26/04/02 14:24  SYN  Dpt=HA   pro=**************cession*********             </v>
          </cell>
          <cell r="E384">
            <v>672717</v>
          </cell>
          <cell r="F384">
            <v>881842</v>
          </cell>
          <cell r="G384">
            <v>801420</v>
          </cell>
          <cell r="H384">
            <v>883966</v>
          </cell>
          <cell r="I384">
            <v>733306</v>
          </cell>
          <cell r="J384">
            <v>782370</v>
          </cell>
          <cell r="K384">
            <v>924856</v>
          </cell>
          <cell r="L384">
            <v>632056</v>
          </cell>
          <cell r="M384">
            <v>821917</v>
          </cell>
          <cell r="N384">
            <v>922584</v>
          </cell>
          <cell r="O384">
            <v>781150</v>
          </cell>
          <cell r="P384">
            <v>756794</v>
          </cell>
        </row>
        <row r="385">
          <cell r="C385" t="str">
            <v xml:space="preserve"> 2828 Capa:   995 000 26/04/02 14:24  SYN  Dpt=HA   pro=**************cession*********             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</row>
        <row r="386">
          <cell r="C386" t="str">
            <v xml:space="preserve"> 2829 Char:   996 000 26/04/02 14:24  SYN  Dpt=MOS  pro=**************cession*********             </v>
          </cell>
          <cell r="E386">
            <v>208460</v>
          </cell>
          <cell r="F386">
            <v>315348</v>
          </cell>
          <cell r="G386">
            <v>352800</v>
          </cell>
          <cell r="H386">
            <v>363699</v>
          </cell>
          <cell r="I386">
            <v>262007</v>
          </cell>
          <cell r="J386">
            <v>300910</v>
          </cell>
          <cell r="K386">
            <v>314479</v>
          </cell>
          <cell r="L386">
            <v>304640</v>
          </cell>
          <cell r="M386">
            <v>345763</v>
          </cell>
          <cell r="N386">
            <v>366544</v>
          </cell>
          <cell r="O386">
            <v>347629</v>
          </cell>
          <cell r="P386">
            <v>323194</v>
          </cell>
        </row>
        <row r="387">
          <cell r="C387" t="str">
            <v xml:space="preserve"> 2830 Capa:   996 000 26/04/02 14:24  SYN  Dpt=MOS  pro=**************cession*********             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</row>
        <row r="388">
          <cell r="C388" t="str">
            <v xml:space="preserve"> 2831 Char:   997 000 26/04/02 14:24  SYN  Dpt=MOE  pro=**************cession*********             </v>
          </cell>
          <cell r="E388">
            <v>34396</v>
          </cell>
          <cell r="F388">
            <v>41858</v>
          </cell>
          <cell r="G388">
            <v>42444</v>
          </cell>
          <cell r="H388">
            <v>41967</v>
          </cell>
          <cell r="I388">
            <v>42906</v>
          </cell>
          <cell r="J388">
            <v>48681</v>
          </cell>
          <cell r="K388">
            <v>45449</v>
          </cell>
          <cell r="L388">
            <v>47811</v>
          </cell>
          <cell r="M388">
            <v>49501</v>
          </cell>
          <cell r="N388">
            <v>48429</v>
          </cell>
          <cell r="O388">
            <v>45349</v>
          </cell>
          <cell r="P388">
            <v>45748</v>
          </cell>
        </row>
        <row r="389">
          <cell r="C389" t="str">
            <v xml:space="preserve"> 2832 Capa:   997 000 26/04/02 14:24  SYN  Dpt=MOE  pro=**************cession*********             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</row>
        <row r="390">
          <cell r="C390" t="str">
            <v xml:space="preserve"> 2833 Char:   999 000 26/04/02 14:24  SYN FTH =CTE***********cession*********             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</sheetData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BDD"/>
      <sheetName val="variables de travail"/>
      <sheetName val="Référence"/>
      <sheetName val="AffairesSynthèses_CAL"/>
      <sheetName val="AffairesSynthèses_DFG"/>
      <sheetName val="AffairesSynthèses_AutresEtudes"/>
      <sheetName val="OESynthèses_CAL"/>
      <sheetName val="OESynthèses_DFG"/>
      <sheetName val="OESynthèses_AutresEtudes"/>
      <sheetName val="OEimmo"/>
      <sheetName val="Secteur_Responsable"/>
      <sheetName val="Type_Activité"/>
      <sheetName val="Retraitements"/>
      <sheetName val="ListeDesDates"/>
      <sheetName val="AffairesManquantes"/>
      <sheetName val="Présentation du rapport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>
            <v>37599</v>
          </cell>
        </row>
        <row r="4">
          <cell r="A4">
            <v>37690</v>
          </cell>
        </row>
        <row r="5">
          <cell r="A5">
            <v>37795</v>
          </cell>
        </row>
        <row r="6">
          <cell r="A6">
            <v>37923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settings"/>
      <sheetName val="Spares_indoor_p1"/>
      <sheetName val="Spares_indoor_p2"/>
      <sheetName val="Notes_p3"/>
      <sheetName val="Spares_indoor_p4"/>
      <sheetName val="Field_stat"/>
      <sheetName val="Balises"/>
      <sheetName val="BoM"/>
      <sheetName val="Failure Rates"/>
      <sheetName val="Ref-list"/>
      <sheetName val="Info"/>
      <sheetName val="Maint-reqs"/>
      <sheetName val="BoM_190301"/>
      <sheetName val="Ersatzteilliste_190308"/>
    </sheetNames>
    <sheetDataSet>
      <sheetData sheetId="0" refreshError="1">
        <row r="1">
          <cell r="B1">
            <v>8760</v>
          </cell>
        </row>
        <row r="2">
          <cell r="B2">
            <v>1.3</v>
          </cell>
        </row>
        <row r="3">
          <cell r="B3">
            <v>1.0000000000000001E-9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Version"/>
      <sheetName val="Supplier List"/>
      <sheetName val="Single Sources"/>
      <sheetName val="Double sources"/>
      <sheetName val="PPQA Follow-up"/>
      <sheetName val="PQA Follow-up"/>
      <sheetName val="PQA Summary"/>
      <sheetName val="Flowcharts"/>
      <sheetName val="Mass-prod Profile"/>
      <sheetName val="Risk Memo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AFFAIRES-OEs"/>
      <sheetName val="AFFAIRESLOTS"/>
      <sheetName val="EcartsParAffaire"/>
      <sheetName val="EcartsParBU"/>
      <sheetName val="EcartsGestParaffaire"/>
      <sheetName val="EcartsGestParBU"/>
      <sheetName val="EcartsEtudes 2002 MT"/>
      <sheetName val="EcartsEtudes 2002 VF"/>
      <sheetName val="EcartsParAffair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Somme Ecart Réf (CPE-CPP)</v>
          </cell>
        </row>
        <row r="4">
          <cell r="A4" t="str">
            <v>SBU</v>
          </cell>
          <cell r="B4" t="str">
            <v>Lot type</v>
          </cell>
          <cell r="C4" t="str">
            <v>Somme</v>
          </cell>
        </row>
        <row r="5">
          <cell r="A5" t="str">
            <v>AMA</v>
          </cell>
          <cell r="B5" t="str">
            <v>Gest</v>
          </cell>
          <cell r="C5">
            <v>62.8</v>
          </cell>
        </row>
        <row r="6">
          <cell r="A6" t="str">
            <v>Somme AMA</v>
          </cell>
          <cell r="C6">
            <v>62.8</v>
          </cell>
        </row>
        <row r="7">
          <cell r="A7" t="str">
            <v>ARA</v>
          </cell>
          <cell r="B7" t="str">
            <v>Gest</v>
          </cell>
          <cell r="C7">
            <v>31.2</v>
          </cell>
        </row>
        <row r="8">
          <cell r="A8" t="str">
            <v>Somme ARA</v>
          </cell>
          <cell r="C8">
            <v>31.2</v>
          </cell>
        </row>
        <row r="9">
          <cell r="A9" t="str">
            <v>ATA</v>
          </cell>
          <cell r="B9" t="str">
            <v>Gest</v>
          </cell>
          <cell r="C9">
            <v>6727.5</v>
          </cell>
        </row>
        <row r="10">
          <cell r="A10" t="str">
            <v>Somme ATA</v>
          </cell>
          <cell r="C10">
            <v>6727.5</v>
          </cell>
        </row>
        <row r="11">
          <cell r="A11" t="str">
            <v>CAL</v>
          </cell>
          <cell r="B11" t="str">
            <v>Gest</v>
          </cell>
          <cell r="C11">
            <v>219.3</v>
          </cell>
        </row>
        <row r="12">
          <cell r="A12" t="str">
            <v>Somme CAL</v>
          </cell>
          <cell r="C12">
            <v>219.3</v>
          </cell>
        </row>
        <row r="13">
          <cell r="A13" t="str">
            <v>CSS</v>
          </cell>
          <cell r="B13" t="str">
            <v>Gest</v>
          </cell>
          <cell r="C13">
            <v>-0.9</v>
          </cell>
        </row>
        <row r="14">
          <cell r="A14" t="str">
            <v>Somme CSS</v>
          </cell>
          <cell r="C14">
            <v>-0.9</v>
          </cell>
        </row>
        <row r="15">
          <cell r="A15" t="str">
            <v>HEL</v>
          </cell>
          <cell r="B15" t="str">
            <v>Gest</v>
          </cell>
          <cell r="C15">
            <v>900.2</v>
          </cell>
        </row>
        <row r="16">
          <cell r="A16" t="str">
            <v>Somme HEL</v>
          </cell>
          <cell r="C16">
            <v>900.2</v>
          </cell>
        </row>
        <row r="17">
          <cell r="A17" t="str">
            <v>IHM</v>
          </cell>
          <cell r="B17" t="str">
            <v>Gest</v>
          </cell>
          <cell r="C17">
            <v>0</v>
          </cell>
        </row>
        <row r="18">
          <cell r="A18" t="str">
            <v>Somme IHM</v>
          </cell>
          <cell r="C18">
            <v>0</v>
          </cell>
        </row>
        <row r="19">
          <cell r="A19" t="str">
            <v>SDV</v>
          </cell>
          <cell r="B19" t="str">
            <v>Gest</v>
          </cell>
          <cell r="C19">
            <v>-0.5</v>
          </cell>
        </row>
        <row r="20">
          <cell r="A20" t="str">
            <v>Somme SDV</v>
          </cell>
          <cell r="C20">
            <v>-0.5</v>
          </cell>
        </row>
        <row r="21">
          <cell r="A21" t="str">
            <v>(vide)</v>
          </cell>
          <cell r="B21" t="str">
            <v>(vide)</v>
          </cell>
        </row>
        <row r="22">
          <cell r="A22" t="str">
            <v>Somme (vide)</v>
          </cell>
        </row>
        <row r="23">
          <cell r="A23" t="str">
            <v>Total</v>
          </cell>
          <cell r="C23">
            <v>7939.6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ilure Rates"/>
      <sheetName val="LEU Logical Equations"/>
      <sheetName val="Settings"/>
      <sheetName val="Balises"/>
    </sheetNames>
    <sheetDataSet>
      <sheetData sheetId="0" refreshError="1"/>
      <sheetData sheetId="1" refreshError="1"/>
      <sheetData sheetId="2" refreshError="1">
        <row r="2">
          <cell r="B2">
            <v>8</v>
          </cell>
        </row>
      </sheetData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TD"/>
      <sheetName val="Graphe_charges"/>
      <sheetName val="Sect_Aff"/>
      <sheetName val="EF_CDI"/>
      <sheetName val="SECTEUR"/>
      <sheetName val="Présentation"/>
      <sheetName val="Organisation des données"/>
      <sheetName val="Feuil1"/>
    </sheetNames>
    <sheetDataSet>
      <sheetData sheetId="0" refreshError="1">
        <row r="1">
          <cell r="BJ1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8-03-ANNUEL"/>
      <sheetName val="T8-03- 8 MOIS"/>
      <sheetName val="T8-03- 4 MOIS"/>
      <sheetName val="MENSU SECTI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ign Off Sheet"/>
      <sheetName val="Purchasing Summary Sheet"/>
      <sheetName val="Purchasing Executive Summary"/>
      <sheetName val="GTS Extended PES (1)"/>
      <sheetName val="GTS Extended PES (2)"/>
      <sheetName val="Purchasing Family"/>
      <sheetName val="IPP R60"/>
      <sheetName val="IPP Pu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F10- TRAVEL</v>
          </cell>
        </row>
        <row r="4">
          <cell r="A4" t="str">
            <v>F12- SUPPORT SERVICES</v>
          </cell>
        </row>
        <row r="5">
          <cell r="A5" t="str">
            <v>F13- BUILDING SERVICES</v>
          </cell>
        </row>
        <row r="6">
          <cell r="A6" t="str">
            <v>F14- INDUSTRIAL  EQUIPMENT</v>
          </cell>
        </row>
        <row r="7">
          <cell r="A7" t="str">
            <v>F15- TRANSPORT &amp; LOGISTIC</v>
          </cell>
        </row>
        <row r="8">
          <cell r="A8" t="str">
            <v>F20- SW COTS</v>
          </cell>
        </row>
        <row r="9">
          <cell r="A9" t="str">
            <v>F21- IT HW  SOLUTIONS</v>
          </cell>
        </row>
        <row r="10">
          <cell r="A10" t="str">
            <v>F22- IT &amp; TELCO SERVICES</v>
          </cell>
        </row>
        <row r="11">
          <cell r="A11" t="str">
            <v>F23- IT NETWORK</v>
          </cell>
        </row>
        <row r="12">
          <cell r="A12" t="str">
            <v>F30- POWER PRODUCTS</v>
          </cell>
        </row>
        <row r="13">
          <cell r="A13" t="str">
            <v>F31- OPTRONICS</v>
          </cell>
        </row>
        <row r="14">
          <cell r="A14" t="str">
            <v>F32- COMMUNICATION SYSTEMS</v>
          </cell>
        </row>
        <row r="15">
          <cell r="A15" t="str">
            <v>F34- AMMUNITIONS &amp; MISSILES</v>
          </cell>
        </row>
        <row r="16">
          <cell r="A16" t="str">
            <v>F36- AERONAUTIC EQUIPMENTS</v>
          </cell>
        </row>
        <row r="17">
          <cell r="A17" t="str">
            <v>F37- SPACE EQUIPMENTS</v>
          </cell>
        </row>
        <row r="18">
          <cell r="A18" t="str">
            <v>F38- TRANSPORTATION INFRASTRUCTURES EQUIPMENT</v>
          </cell>
        </row>
        <row r="19">
          <cell r="A19" t="str">
            <v>F39- SECURITY EQUIPMENTS</v>
          </cell>
        </row>
        <row r="20">
          <cell r="A20" t="str">
            <v>F3A- OTHERS SYST &amp; EQUIP.</v>
          </cell>
        </row>
        <row r="21">
          <cell r="A21" t="str">
            <v>F80- INSTALLATIONS</v>
          </cell>
        </row>
        <row r="22">
          <cell r="A22" t="str">
            <v>F81- CIVIL ENGINEERING &amp;  WORKS</v>
          </cell>
        </row>
        <row r="23">
          <cell r="A23" t="str">
            <v>F81- CIVIL ENGINEERING &amp;  WORKS</v>
          </cell>
        </row>
        <row r="24">
          <cell r="A24" t="str">
            <v>F35- EQUIPPED SHELTERS &amp; PLATFORMS</v>
          </cell>
        </row>
        <row r="25">
          <cell r="A25" t="str">
            <v>F40- MECHANICAL PARTS</v>
          </cell>
        </row>
        <row r="26">
          <cell r="A26" t="str">
            <v>F41- MECHANICAL ASSEMBLY &amp;  INTEGRATION</v>
          </cell>
        </row>
        <row r="27">
          <cell r="A27" t="str">
            <v>F42- MECHANICAL COMMODITIES</v>
          </cell>
        </row>
        <row r="28">
          <cell r="A28" t="str">
            <v>F43- PCB</v>
          </cell>
        </row>
        <row r="29">
          <cell r="A29" t="str">
            <v>F44- PCBA &amp; HOUSING INTEGRATION</v>
          </cell>
        </row>
        <row r="30">
          <cell r="A30" t="str">
            <v>F45- MICROWAVE MANUFACTURING &amp; INTEGRATION (DESIGN INCLUDED)</v>
          </cell>
        </row>
        <row r="31">
          <cell r="A31" t="str">
            <v>F46- INTERCONNECTION</v>
          </cell>
        </row>
        <row r="32">
          <cell r="A32" t="str">
            <v>F47- CABINET &amp; RACKS INTEGRATION</v>
          </cell>
        </row>
        <row r="33">
          <cell r="A33" t="str">
            <v>F50- ELECTRONIC COMPONENT</v>
          </cell>
        </row>
        <row r="34">
          <cell r="A34" t="str">
            <v>F51- MICROWAVES &amp; RF COMPONENT</v>
          </cell>
        </row>
        <row r="35">
          <cell r="A35" t="str">
            <v>F60- SYSTEM ENGINEERING &amp; PROJECT MANAGEMENT</v>
          </cell>
        </row>
        <row r="36">
          <cell r="A36" t="str">
            <v>F61- SW DEVELOPMENT</v>
          </cell>
        </row>
        <row r="37">
          <cell r="A37" t="str">
            <v>F62- TEST SYSTEMS AND SERVICES</v>
          </cell>
        </row>
        <row r="38">
          <cell r="A38" t="str">
            <v>F70- LOGISTIC SUPPORT ANALYSIS</v>
          </cell>
        </row>
        <row r="39">
          <cell r="A39" t="str">
            <v>F71- TECHNICAL DOCUMENTATION</v>
          </cell>
        </row>
        <row r="40">
          <cell r="A40" t="str">
            <v>F72- CUSTOMERS TRAINING</v>
          </cell>
        </row>
        <row r="41">
          <cell r="A41" t="str">
            <v>F73 - MAINTENANCE AND NEW SERVICES</v>
          </cell>
        </row>
      </sheetData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_CLE"/>
      <sheetName val="Présentation Cessions études"/>
      <sheetName val="CESSETUD"/>
      <sheetName val="CHARGAFF"/>
      <sheetName val="COURCHRG ETUDES"/>
      <sheetName val="Ecart02"/>
      <sheetName val="CHARGPOTetud"/>
      <sheetName val="PRESTA "/>
      <sheetName val="CESSSINDUST"/>
      <sheetName val="courbprod"/>
      <sheetName val="CHARGPOTEST"/>
      <sheetName val="CHARGPOTme_mt"/>
      <sheetName val="REX"/>
      <sheetName val="ECIMPUT"/>
      <sheetName val="ECCPPCPR"/>
      <sheetName val="Frais"/>
      <sheetName val="R_0 REX"/>
      <sheetName val="STOCK"/>
      <sheetName val="WCR-OCR"/>
      <sheetName val="R_0 ocr"/>
      <sheetName val="EFFECT"/>
      <sheetName val="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G5" t="str">
            <v>1ère campagne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actu"/>
      <sheetName val="Paramètres"/>
    </sheetNames>
    <sheetDataSet>
      <sheetData sheetId="0" refreshError="1">
        <row r="9">
          <cell r="A9" t="str">
            <v>109A</v>
          </cell>
          <cell r="B9" t="str">
            <v>A</v>
          </cell>
          <cell r="C9" t="str">
            <v>109</v>
          </cell>
          <cell r="D9" t="str">
            <v>A109</v>
          </cell>
          <cell r="E9">
            <v>0</v>
          </cell>
          <cell r="F9">
            <v>9896.76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203</v>
          </cell>
          <cell r="O9">
            <v>9025.6389787610624</v>
          </cell>
          <cell r="P9">
            <v>9896.76</v>
          </cell>
          <cell r="Q9">
            <v>9896.76</v>
          </cell>
          <cell r="R9">
            <v>9896.76</v>
          </cell>
          <cell r="S9">
            <v>0</v>
          </cell>
          <cell r="T9">
            <v>-871.12102123893783</v>
          </cell>
          <cell r="U9">
            <v>-9693.76</v>
          </cell>
          <cell r="V9">
            <v>0</v>
          </cell>
          <cell r="W9">
            <v>0</v>
          </cell>
          <cell r="X9">
            <v>0</v>
          </cell>
          <cell r="Y9">
            <v>203</v>
          </cell>
          <cell r="Z9">
            <v>0</v>
          </cell>
          <cell r="AA9">
            <v>-9693.76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-871.12102123893862</v>
          </cell>
          <cell r="AG9" t="e">
            <v>#N/A</v>
          </cell>
          <cell r="AH9" t="e">
            <v>#N/A</v>
          </cell>
        </row>
        <row r="10">
          <cell r="A10" t="str">
            <v>310A</v>
          </cell>
          <cell r="B10" t="str">
            <v>A</v>
          </cell>
          <cell r="C10" t="str">
            <v>310</v>
          </cell>
          <cell r="D10" t="str">
            <v>A310</v>
          </cell>
          <cell r="E10">
            <v>610</v>
          </cell>
          <cell r="F10">
            <v>2043.77</v>
          </cell>
          <cell r="G10">
            <v>0</v>
          </cell>
          <cell r="H10">
            <v>179.1</v>
          </cell>
          <cell r="I10">
            <v>179.05</v>
          </cell>
          <cell r="J10">
            <v>17.329999999999998</v>
          </cell>
          <cell r="K10">
            <v>164</v>
          </cell>
          <cell r="L10">
            <v>4.9999999999982947E-2</v>
          </cell>
          <cell r="M10">
            <v>-179.05</v>
          </cell>
          <cell r="N10">
            <v>1581</v>
          </cell>
          <cell r="O10">
            <v>1580.0114068488001</v>
          </cell>
          <cell r="P10">
            <v>2222.8200000000002</v>
          </cell>
          <cell r="Q10">
            <v>2061.1</v>
          </cell>
          <cell r="R10">
            <v>2058.8200000000002</v>
          </cell>
          <cell r="S10">
            <v>164</v>
          </cell>
          <cell r="T10">
            <v>-642.80859315120006</v>
          </cell>
          <cell r="U10">
            <v>-641.82000000000016</v>
          </cell>
          <cell r="V10">
            <v>0</v>
          </cell>
          <cell r="W10">
            <v>0</v>
          </cell>
          <cell r="X10">
            <v>0</v>
          </cell>
          <cell r="Y10">
            <v>1400</v>
          </cell>
          <cell r="Z10">
            <v>0</v>
          </cell>
          <cell r="AA10">
            <v>-822.82</v>
          </cell>
          <cell r="AB10">
            <v>179.05</v>
          </cell>
          <cell r="AC10">
            <v>164</v>
          </cell>
          <cell r="AD10">
            <v>2.2799999999999727</v>
          </cell>
          <cell r="AE10">
            <v>-591.59</v>
          </cell>
          <cell r="AF10">
            <v>-51.933593151199915</v>
          </cell>
          <cell r="AG10" t="e">
            <v>#N/A</v>
          </cell>
          <cell r="AH10" t="e">
            <v>#N/A</v>
          </cell>
        </row>
        <row r="11">
          <cell r="A11" t="str">
            <v>320A</v>
          </cell>
          <cell r="B11" t="str">
            <v>A</v>
          </cell>
          <cell r="C11" t="str">
            <v>320</v>
          </cell>
          <cell r="D11" t="str">
            <v>A320</v>
          </cell>
          <cell r="E11">
            <v>1323</v>
          </cell>
          <cell r="F11">
            <v>1684.52</v>
          </cell>
          <cell r="G11">
            <v>0</v>
          </cell>
          <cell r="H11">
            <v>277.8</v>
          </cell>
          <cell r="I11">
            <v>301.35000000000002</v>
          </cell>
          <cell r="J11">
            <v>194.92</v>
          </cell>
          <cell r="K11">
            <v>-4.5100000000000051</v>
          </cell>
          <cell r="L11">
            <v>-23.55</v>
          </cell>
          <cell r="M11">
            <v>-301.35000000000002</v>
          </cell>
          <cell r="N11">
            <v>2320</v>
          </cell>
          <cell r="O11">
            <v>1968.2910000000004</v>
          </cell>
          <cell r="P11">
            <v>1985.87</v>
          </cell>
          <cell r="Q11">
            <v>1879.44</v>
          </cell>
          <cell r="R11">
            <v>1808.07</v>
          </cell>
          <cell r="S11">
            <v>-4.5100000000000051</v>
          </cell>
          <cell r="T11">
            <v>-17.578999999999496</v>
          </cell>
          <cell r="U11">
            <v>334.13000000000011</v>
          </cell>
          <cell r="V11">
            <v>0</v>
          </cell>
          <cell r="W11">
            <v>0</v>
          </cell>
          <cell r="X11">
            <v>0</v>
          </cell>
          <cell r="Y11">
            <v>2220</v>
          </cell>
          <cell r="Z11">
            <v>1100</v>
          </cell>
          <cell r="AA11">
            <v>234.13</v>
          </cell>
          <cell r="AB11">
            <v>301.35000000000002</v>
          </cell>
          <cell r="AC11">
            <v>177.8</v>
          </cell>
          <cell r="AD11">
            <v>71.370000000000061</v>
          </cell>
          <cell r="AE11">
            <v>-111.65</v>
          </cell>
          <cell r="AF11">
            <v>28.634</v>
          </cell>
          <cell r="AG11" t="e">
            <v>#N/A</v>
          </cell>
          <cell r="AH11" t="e">
            <v>#N/A</v>
          </cell>
        </row>
        <row r="12">
          <cell r="A12" t="str">
            <v>340A</v>
          </cell>
          <cell r="B12" t="str">
            <v>A</v>
          </cell>
          <cell r="C12" t="str">
            <v>340</v>
          </cell>
          <cell r="D12" t="str">
            <v>A340</v>
          </cell>
          <cell r="E12">
            <v>755</v>
          </cell>
          <cell r="F12">
            <v>4638.21</v>
          </cell>
          <cell r="G12">
            <v>0</v>
          </cell>
          <cell r="H12">
            <v>213.3</v>
          </cell>
          <cell r="I12">
            <v>188.98</v>
          </cell>
          <cell r="J12">
            <v>189.21</v>
          </cell>
          <cell r="K12">
            <v>-0.22999999999993292</v>
          </cell>
          <cell r="L12">
            <v>24.32</v>
          </cell>
          <cell r="M12">
            <v>-188.98</v>
          </cell>
          <cell r="N12">
            <v>5469</v>
          </cell>
          <cell r="O12">
            <v>4390.5649999999987</v>
          </cell>
          <cell r="P12">
            <v>4827.1899999999996</v>
          </cell>
          <cell r="Q12">
            <v>4827.42</v>
          </cell>
          <cell r="R12">
            <v>4698.6899999999996</v>
          </cell>
          <cell r="S12">
            <v>-0.22999999999994714</v>
          </cell>
          <cell r="T12">
            <v>-436.62500000000091</v>
          </cell>
          <cell r="U12">
            <v>641.8100000000004</v>
          </cell>
          <cell r="V12">
            <v>0</v>
          </cell>
          <cell r="W12">
            <v>0</v>
          </cell>
          <cell r="X12">
            <v>0</v>
          </cell>
          <cell r="Y12">
            <v>5259</v>
          </cell>
          <cell r="Z12">
            <v>272</v>
          </cell>
          <cell r="AA12">
            <v>431.80999999999949</v>
          </cell>
          <cell r="AB12">
            <v>188.98</v>
          </cell>
          <cell r="AC12">
            <v>128.5</v>
          </cell>
          <cell r="AD12">
            <v>128.72999999999999</v>
          </cell>
          <cell r="AE12">
            <v>283.44</v>
          </cell>
          <cell r="AF12">
            <v>-708.09900000000005</v>
          </cell>
          <cell r="AG12" t="e">
            <v>#N/A</v>
          </cell>
          <cell r="AH12" t="e">
            <v>#N/A</v>
          </cell>
        </row>
        <row r="13">
          <cell r="A13" t="str">
            <v>AHNA</v>
          </cell>
          <cell r="B13" t="str">
            <v>A</v>
          </cell>
          <cell r="C13" t="str">
            <v>AHN</v>
          </cell>
          <cell r="D13" t="str">
            <v>AHNG</v>
          </cell>
          <cell r="E13">
            <v>0</v>
          </cell>
          <cell r="F13">
            <v>4265.99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4429</v>
          </cell>
          <cell r="O13">
            <v>4218.9639999999999</v>
          </cell>
          <cell r="P13">
            <v>4265.99</v>
          </cell>
          <cell r="Q13">
            <v>4265.99</v>
          </cell>
          <cell r="R13">
            <v>4265.99</v>
          </cell>
          <cell r="S13">
            <v>0</v>
          </cell>
          <cell r="T13">
            <v>-47.02599999999984</v>
          </cell>
          <cell r="U13">
            <v>163.01000000000022</v>
          </cell>
          <cell r="V13">
            <v>0</v>
          </cell>
          <cell r="W13">
            <v>0</v>
          </cell>
          <cell r="X13">
            <v>0</v>
          </cell>
          <cell r="Y13">
            <v>4116</v>
          </cell>
          <cell r="Z13">
            <v>0</v>
          </cell>
          <cell r="AA13">
            <v>-149.99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-47.026000000000067</v>
          </cell>
          <cell r="AG13" t="e">
            <v>#N/A</v>
          </cell>
          <cell r="AH13" t="e">
            <v>#N/A</v>
          </cell>
        </row>
        <row r="14">
          <cell r="A14" t="str">
            <v>ALZA</v>
          </cell>
          <cell r="B14" t="str">
            <v>A</v>
          </cell>
          <cell r="C14" t="str">
            <v>ALZ</v>
          </cell>
          <cell r="D14" t="str">
            <v>ALIZE</v>
          </cell>
          <cell r="E14">
            <v>0</v>
          </cell>
          <cell r="F14">
            <v>31086.45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24264.93</v>
          </cell>
          <cell r="O14">
            <v>14440.035642321711</v>
          </cell>
          <cell r="P14">
            <v>31086.45</v>
          </cell>
          <cell r="Q14">
            <v>31086.45</v>
          </cell>
          <cell r="R14">
            <v>31086.45</v>
          </cell>
          <cell r="S14">
            <v>0</v>
          </cell>
          <cell r="T14">
            <v>-16646.414357678288</v>
          </cell>
          <cell r="U14">
            <v>-6821.52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-31086.45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-16646.414357678295</v>
          </cell>
          <cell r="AG14" t="e">
            <v>#N/A</v>
          </cell>
          <cell r="AH14" t="e">
            <v>#N/A</v>
          </cell>
        </row>
        <row r="15">
          <cell r="A15" t="str">
            <v>ASCA</v>
          </cell>
          <cell r="B15" t="str">
            <v>A</v>
          </cell>
          <cell r="C15" t="str">
            <v>ASC</v>
          </cell>
          <cell r="D15" t="str">
            <v>ASIC</v>
          </cell>
          <cell r="E15">
            <v>0</v>
          </cell>
          <cell r="F15">
            <v>3209.19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2047</v>
          </cell>
          <cell r="O15">
            <v>2972.61</v>
          </cell>
          <cell r="P15">
            <v>3209.19</v>
          </cell>
          <cell r="Q15">
            <v>3209.19</v>
          </cell>
          <cell r="R15">
            <v>3209.19</v>
          </cell>
          <cell r="S15">
            <v>0</v>
          </cell>
          <cell r="T15">
            <v>-236.57999999999993</v>
          </cell>
          <cell r="U15">
            <v>-1162.19</v>
          </cell>
          <cell r="V15">
            <v>0</v>
          </cell>
          <cell r="W15">
            <v>0</v>
          </cell>
          <cell r="X15">
            <v>0</v>
          </cell>
          <cell r="Y15">
            <v>2442</v>
          </cell>
          <cell r="Z15">
            <v>0</v>
          </cell>
          <cell r="AA15">
            <v>-767.19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-236.58</v>
          </cell>
          <cell r="AG15" t="e">
            <v>#N/A</v>
          </cell>
          <cell r="AH15" t="e">
            <v>#N/A</v>
          </cell>
        </row>
        <row r="16">
          <cell r="A16" t="str">
            <v>ATSA</v>
          </cell>
          <cell r="B16" t="str">
            <v>A</v>
          </cell>
          <cell r="C16" t="str">
            <v>ATS</v>
          </cell>
          <cell r="D16" t="str">
            <v>RAO ATS</v>
          </cell>
          <cell r="E16">
            <v>0</v>
          </cell>
          <cell r="F16">
            <v>51.58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275</v>
          </cell>
          <cell r="O16">
            <v>47</v>
          </cell>
          <cell r="P16">
            <v>51.58</v>
          </cell>
          <cell r="Q16">
            <v>51.58</v>
          </cell>
          <cell r="R16">
            <v>51.58</v>
          </cell>
          <cell r="S16">
            <v>0</v>
          </cell>
          <cell r="T16">
            <v>-4.5799999999999983</v>
          </cell>
          <cell r="U16">
            <v>223.42000000000002</v>
          </cell>
          <cell r="V16">
            <v>0</v>
          </cell>
          <cell r="W16">
            <v>0</v>
          </cell>
          <cell r="X16">
            <v>0</v>
          </cell>
          <cell r="Y16">
            <v>275</v>
          </cell>
          <cell r="Z16">
            <v>0</v>
          </cell>
          <cell r="AA16">
            <v>223.42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-4.58</v>
          </cell>
          <cell r="AG16" t="e">
            <v>#N/A</v>
          </cell>
          <cell r="AH16" t="e">
            <v>#N/A</v>
          </cell>
        </row>
        <row r="17">
          <cell r="A17" t="str">
            <v>C13A</v>
          </cell>
          <cell r="B17" t="str">
            <v>A</v>
          </cell>
          <cell r="C17" t="str">
            <v>C13</v>
          </cell>
          <cell r="D17" t="str">
            <v>C130</v>
          </cell>
          <cell r="E17">
            <v>0</v>
          </cell>
          <cell r="F17">
            <v>818.23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840</v>
          </cell>
          <cell r="O17">
            <v>840</v>
          </cell>
          <cell r="P17">
            <v>818.23</v>
          </cell>
          <cell r="Q17">
            <v>818.23</v>
          </cell>
          <cell r="R17">
            <v>818.23</v>
          </cell>
          <cell r="S17">
            <v>0</v>
          </cell>
          <cell r="T17">
            <v>21.769999999999982</v>
          </cell>
          <cell r="U17">
            <v>21.769999999999982</v>
          </cell>
          <cell r="V17">
            <v>0</v>
          </cell>
          <cell r="W17">
            <v>0</v>
          </cell>
          <cell r="X17">
            <v>0</v>
          </cell>
          <cell r="Y17">
            <v>840</v>
          </cell>
          <cell r="Z17">
            <v>0</v>
          </cell>
          <cell r="AA17">
            <v>21.77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21.77</v>
          </cell>
          <cell r="AG17" t="e">
            <v>#N/A</v>
          </cell>
          <cell r="AH17" t="e">
            <v>#N/A</v>
          </cell>
        </row>
        <row r="18">
          <cell r="A18" t="str">
            <v>DAPA</v>
          </cell>
          <cell r="B18" t="str">
            <v>A</v>
          </cell>
          <cell r="C18" t="str">
            <v>DAP</v>
          </cell>
          <cell r="D18" t="str">
            <v>DIVERS APN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100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100</v>
          </cell>
          <cell r="V18">
            <v>0</v>
          </cell>
          <cell r="W18">
            <v>0</v>
          </cell>
          <cell r="X18">
            <v>0</v>
          </cell>
          <cell r="Y18">
            <v>100</v>
          </cell>
          <cell r="Z18">
            <v>0</v>
          </cell>
          <cell r="AA18">
            <v>100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 t="e">
            <v>#N/A</v>
          </cell>
          <cell r="AH18" t="e">
            <v>#N/A</v>
          </cell>
        </row>
        <row r="19">
          <cell r="A19" t="str">
            <v>DDEA</v>
          </cell>
          <cell r="B19" t="str">
            <v>A</v>
          </cell>
          <cell r="C19" t="str">
            <v>DDE</v>
          </cell>
          <cell r="D19" t="str">
            <v>TRVX POUR DES</v>
          </cell>
          <cell r="E19">
            <v>0</v>
          </cell>
          <cell r="F19">
            <v>476.84</v>
          </cell>
          <cell r="G19">
            <v>0</v>
          </cell>
          <cell r="H19">
            <v>0</v>
          </cell>
          <cell r="I19">
            <v>0</v>
          </cell>
          <cell r="J19">
            <v>0.27000000000000313</v>
          </cell>
          <cell r="K19">
            <v>-0.27000000000000313</v>
          </cell>
          <cell r="L19">
            <v>0</v>
          </cell>
          <cell r="M19">
            <v>0</v>
          </cell>
          <cell r="N19">
            <v>710</v>
          </cell>
          <cell r="O19">
            <v>713.01199999999994</v>
          </cell>
          <cell r="P19">
            <v>476.84</v>
          </cell>
          <cell r="Q19">
            <v>477.11</v>
          </cell>
          <cell r="R19">
            <v>476.84</v>
          </cell>
          <cell r="S19">
            <v>-0.27000000000000313</v>
          </cell>
          <cell r="T19">
            <v>236.17199999999997</v>
          </cell>
          <cell r="U19">
            <v>233.16000000000003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-476.84</v>
          </cell>
          <cell r="AB19">
            <v>0</v>
          </cell>
          <cell r="AC19">
            <v>0</v>
          </cell>
          <cell r="AD19">
            <v>0.27000000000000313</v>
          </cell>
          <cell r="AE19">
            <v>0</v>
          </cell>
          <cell r="AF19">
            <v>236.172</v>
          </cell>
          <cell r="AG19" t="e">
            <v>#N/A</v>
          </cell>
          <cell r="AH19" t="e">
            <v>#N/A</v>
          </cell>
        </row>
        <row r="20">
          <cell r="A20" t="str">
            <v>DH4A</v>
          </cell>
          <cell r="B20" t="str">
            <v>A</v>
          </cell>
          <cell r="C20" t="str">
            <v>DH4</v>
          </cell>
          <cell r="D20" t="str">
            <v>DASH8-WP14</v>
          </cell>
          <cell r="E20">
            <v>508</v>
          </cell>
          <cell r="F20">
            <v>14051.27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19320</v>
          </cell>
          <cell r="O20">
            <v>17982.204199999996</v>
          </cell>
          <cell r="P20">
            <v>14051.27</v>
          </cell>
          <cell r="Q20">
            <v>14051.27</v>
          </cell>
          <cell r="R20">
            <v>14051.27</v>
          </cell>
          <cell r="S20">
            <v>0</v>
          </cell>
          <cell r="T20">
            <v>3930.9341999999961</v>
          </cell>
          <cell r="U20">
            <v>5268.73</v>
          </cell>
          <cell r="V20">
            <v>0</v>
          </cell>
          <cell r="W20">
            <v>0</v>
          </cell>
          <cell r="X20">
            <v>0</v>
          </cell>
          <cell r="Y20">
            <v>18822</v>
          </cell>
          <cell r="Z20">
            <v>0</v>
          </cell>
          <cell r="AA20">
            <v>4770.7299999999996</v>
          </cell>
          <cell r="AB20">
            <v>0</v>
          </cell>
          <cell r="AC20">
            <v>0</v>
          </cell>
          <cell r="AD20">
            <v>0</v>
          </cell>
          <cell r="AE20">
            <v>143.44999999999999</v>
          </cell>
          <cell r="AF20">
            <v>3736.8142000000007</v>
          </cell>
          <cell r="AG20" t="e">
            <v>#N/A</v>
          </cell>
          <cell r="AH20" t="e">
            <v>#N/A</v>
          </cell>
        </row>
        <row r="21">
          <cell r="A21" t="str">
            <v>DHXA</v>
          </cell>
          <cell r="B21" t="str">
            <v>A</v>
          </cell>
          <cell r="C21" t="str">
            <v>DHX</v>
          </cell>
          <cell r="D21" t="str">
            <v>DASH8-AUTRES</v>
          </cell>
          <cell r="E21">
            <v>4750</v>
          </cell>
          <cell r="F21">
            <v>11729.67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10582</v>
          </cell>
          <cell r="O21">
            <v>11205.653700167997</v>
          </cell>
          <cell r="P21">
            <v>11729.67</v>
          </cell>
          <cell r="Q21">
            <v>11729.67</v>
          </cell>
          <cell r="R21">
            <v>11729.67</v>
          </cell>
          <cell r="S21">
            <v>0</v>
          </cell>
          <cell r="T21">
            <v>-524.01629983200291</v>
          </cell>
          <cell r="U21">
            <v>-1147.67</v>
          </cell>
          <cell r="V21">
            <v>0</v>
          </cell>
          <cell r="W21">
            <v>0</v>
          </cell>
          <cell r="X21">
            <v>0</v>
          </cell>
          <cell r="Y21">
            <v>14925</v>
          </cell>
          <cell r="Z21">
            <v>0</v>
          </cell>
          <cell r="AA21">
            <v>3195.33</v>
          </cell>
          <cell r="AB21">
            <v>0</v>
          </cell>
          <cell r="AC21">
            <v>0</v>
          </cell>
          <cell r="AD21">
            <v>0</v>
          </cell>
          <cell r="AE21">
            <v>32.989999999999782</v>
          </cell>
          <cell r="AF21">
            <v>-93.602299999999644</v>
          </cell>
          <cell r="AG21" t="e">
            <v>#N/A</v>
          </cell>
          <cell r="AH21" t="e">
            <v>#N/A</v>
          </cell>
        </row>
        <row r="22">
          <cell r="A22" t="str">
            <v>DIHA</v>
          </cell>
          <cell r="B22" t="str">
            <v>A</v>
          </cell>
          <cell r="C22" t="str">
            <v>DIH</v>
          </cell>
          <cell r="D22" t="str">
            <v>TRVX POUR IHM</v>
          </cell>
          <cell r="E22">
            <v>0</v>
          </cell>
          <cell r="F22">
            <v>270.74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230</v>
          </cell>
          <cell r="O22">
            <v>223.28</v>
          </cell>
          <cell r="P22">
            <v>270.74</v>
          </cell>
          <cell r="Q22">
            <v>270.74</v>
          </cell>
          <cell r="R22">
            <v>270.74</v>
          </cell>
          <cell r="S22">
            <v>0</v>
          </cell>
          <cell r="T22">
            <v>-47.460000000000008</v>
          </cell>
          <cell r="U22">
            <v>-40.740000000000009</v>
          </cell>
          <cell r="V22">
            <v>0</v>
          </cell>
          <cell r="W22">
            <v>0</v>
          </cell>
          <cell r="X22">
            <v>0</v>
          </cell>
          <cell r="Y22">
            <v>230</v>
          </cell>
          <cell r="Z22">
            <v>0</v>
          </cell>
          <cell r="AA22">
            <v>-40.74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-47.46</v>
          </cell>
          <cell r="AG22" t="e">
            <v>#N/A</v>
          </cell>
          <cell r="AH22" t="e">
            <v>#N/A</v>
          </cell>
        </row>
        <row r="23">
          <cell r="A23" t="str">
            <v>DNAA</v>
          </cell>
          <cell r="B23" t="str">
            <v>A</v>
          </cell>
          <cell r="C23" t="str">
            <v>DNA</v>
          </cell>
          <cell r="D23" t="str">
            <v>DIVERS NAV</v>
          </cell>
          <cell r="E23">
            <v>0</v>
          </cell>
          <cell r="F23">
            <v>131.51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141</v>
          </cell>
          <cell r="O23">
            <v>140.464</v>
          </cell>
          <cell r="P23">
            <v>131.51</v>
          </cell>
          <cell r="Q23">
            <v>131.51</v>
          </cell>
          <cell r="R23">
            <v>131.51</v>
          </cell>
          <cell r="S23">
            <v>0</v>
          </cell>
          <cell r="T23">
            <v>8.9540000000000077</v>
          </cell>
          <cell r="U23">
            <v>9.4900000000000091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-131.51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8.9540000000000077</v>
          </cell>
          <cell r="AG23" t="e">
            <v>#N/A</v>
          </cell>
          <cell r="AH23" t="e">
            <v>#N/A</v>
          </cell>
        </row>
        <row r="24">
          <cell r="A24" t="str">
            <v>DSUA</v>
          </cell>
          <cell r="B24" t="str">
            <v>A</v>
          </cell>
          <cell r="C24" t="str">
            <v>DSU</v>
          </cell>
          <cell r="D24" t="str">
            <v>DIVERS SSU</v>
          </cell>
          <cell r="E24">
            <v>0</v>
          </cell>
          <cell r="F24">
            <v>36.049999999999997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55.35</v>
          </cell>
          <cell r="P24">
            <v>36.049999999999997</v>
          </cell>
          <cell r="Q24">
            <v>36.049999999999997</v>
          </cell>
          <cell r="R24">
            <v>36.049999999999997</v>
          </cell>
          <cell r="S24">
            <v>0</v>
          </cell>
          <cell r="T24">
            <v>19.300000000000004</v>
          </cell>
          <cell r="U24">
            <v>23.950000000000003</v>
          </cell>
          <cell r="V24">
            <v>0</v>
          </cell>
          <cell r="W24">
            <v>0</v>
          </cell>
          <cell r="X24">
            <v>0</v>
          </cell>
          <cell r="Y24">
            <v>60</v>
          </cell>
          <cell r="Z24">
            <v>0</v>
          </cell>
          <cell r="AA24">
            <v>23.95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19.3</v>
          </cell>
          <cell r="AG24" t="e">
            <v>#N/A</v>
          </cell>
          <cell r="AH24" t="e">
            <v>#N/A</v>
          </cell>
        </row>
        <row r="25">
          <cell r="A25" t="str">
            <v>DTSA</v>
          </cell>
          <cell r="B25" t="str">
            <v>A</v>
          </cell>
          <cell r="C25" t="str">
            <v>DTS</v>
          </cell>
          <cell r="D25" t="str">
            <v>DIVERS ATS</v>
          </cell>
          <cell r="E25">
            <v>0</v>
          </cell>
          <cell r="F25">
            <v>52.3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50</v>
          </cell>
          <cell r="O25">
            <v>19.71</v>
          </cell>
          <cell r="P25">
            <v>52.3</v>
          </cell>
          <cell r="Q25">
            <v>52.3</v>
          </cell>
          <cell r="R25">
            <v>52.3</v>
          </cell>
          <cell r="S25">
            <v>0</v>
          </cell>
          <cell r="T25">
            <v>-32.589999999999996</v>
          </cell>
          <cell r="U25">
            <v>-2.2999999999999972</v>
          </cell>
          <cell r="V25">
            <v>0</v>
          </cell>
          <cell r="W25">
            <v>0</v>
          </cell>
          <cell r="X25">
            <v>0</v>
          </cell>
          <cell r="Y25">
            <v>50</v>
          </cell>
          <cell r="Z25">
            <v>0</v>
          </cell>
          <cell r="AA25">
            <v>-2.2999999999999998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-32.590000000000003</v>
          </cell>
          <cell r="AG25" t="e">
            <v>#N/A</v>
          </cell>
          <cell r="AH25" t="e">
            <v>#N/A</v>
          </cell>
        </row>
        <row r="26">
          <cell r="A26" t="str">
            <v>EAAA</v>
          </cell>
          <cell r="B26" t="str">
            <v>A</v>
          </cell>
          <cell r="C26" t="str">
            <v>EAA</v>
          </cell>
          <cell r="D26" t="str">
            <v>ETUDES AAE</v>
          </cell>
          <cell r="E26">
            <v>345</v>
          </cell>
          <cell r="F26">
            <v>3926.55</v>
          </cell>
          <cell r="G26">
            <v>0</v>
          </cell>
          <cell r="H26">
            <v>53.82</v>
          </cell>
          <cell r="I26">
            <v>503.51</v>
          </cell>
          <cell r="J26">
            <v>515.52</v>
          </cell>
          <cell r="K26">
            <v>-12.01</v>
          </cell>
          <cell r="L26">
            <v>-449.69</v>
          </cell>
          <cell r="M26">
            <v>-503.51</v>
          </cell>
          <cell r="N26">
            <v>4331</v>
          </cell>
          <cell r="O26">
            <v>4363.6880000000001</v>
          </cell>
          <cell r="P26">
            <v>4430.0600000000004</v>
          </cell>
          <cell r="Q26">
            <v>4442.07</v>
          </cell>
          <cell r="R26">
            <v>4430.0600000000004</v>
          </cell>
          <cell r="S26">
            <v>-12.009999999999934</v>
          </cell>
          <cell r="T26">
            <v>-66.372000000000298</v>
          </cell>
          <cell r="U26">
            <v>-99.0600000000004</v>
          </cell>
          <cell r="V26">
            <v>0</v>
          </cell>
          <cell r="W26">
            <v>0</v>
          </cell>
          <cell r="X26">
            <v>0</v>
          </cell>
          <cell r="Y26">
            <v>4306</v>
          </cell>
          <cell r="Z26">
            <v>0</v>
          </cell>
          <cell r="AA26">
            <v>-124.06</v>
          </cell>
          <cell r="AB26">
            <v>503.51</v>
          </cell>
          <cell r="AC26">
            <v>2.8421709430404007E-14</v>
          </cell>
          <cell r="AD26">
            <v>12.01</v>
          </cell>
          <cell r="AE26">
            <v>-0.52000000000001023</v>
          </cell>
          <cell r="AF26">
            <v>-65.852000000000132</v>
          </cell>
          <cell r="AG26" t="e">
            <v>#N/A</v>
          </cell>
          <cell r="AH26" t="e">
            <v>#N/A</v>
          </cell>
        </row>
        <row r="27">
          <cell r="A27" t="str">
            <v>EAPA</v>
          </cell>
          <cell r="B27" t="str">
            <v>A</v>
          </cell>
          <cell r="C27" t="str">
            <v>EAP</v>
          </cell>
          <cell r="D27" t="str">
            <v>ETUDES APN</v>
          </cell>
          <cell r="E27">
            <v>0</v>
          </cell>
          <cell r="F27">
            <v>307.39999999999998</v>
          </cell>
          <cell r="G27">
            <v>0</v>
          </cell>
          <cell r="H27">
            <v>17</v>
          </cell>
          <cell r="I27">
            <v>0</v>
          </cell>
          <cell r="J27">
            <v>6.56</v>
          </cell>
          <cell r="K27">
            <v>-6.56</v>
          </cell>
          <cell r="L27">
            <v>17</v>
          </cell>
          <cell r="M27">
            <v>0</v>
          </cell>
          <cell r="N27">
            <v>610</v>
          </cell>
          <cell r="O27">
            <v>291.44200000000001</v>
          </cell>
          <cell r="P27">
            <v>307.39999999999998</v>
          </cell>
          <cell r="Q27">
            <v>313.95999999999998</v>
          </cell>
          <cell r="R27">
            <v>307.39999999999998</v>
          </cell>
          <cell r="S27">
            <v>-6.56</v>
          </cell>
          <cell r="T27">
            <v>-15.95799999999997</v>
          </cell>
          <cell r="U27">
            <v>302.60000000000002</v>
          </cell>
          <cell r="V27">
            <v>0</v>
          </cell>
          <cell r="W27">
            <v>0</v>
          </cell>
          <cell r="X27">
            <v>0</v>
          </cell>
          <cell r="Y27">
            <v>410</v>
          </cell>
          <cell r="Z27">
            <v>0</v>
          </cell>
          <cell r="AA27">
            <v>102.6</v>
          </cell>
          <cell r="AB27">
            <v>0</v>
          </cell>
          <cell r="AC27">
            <v>0</v>
          </cell>
          <cell r="AD27">
            <v>6.56</v>
          </cell>
          <cell r="AE27">
            <v>0</v>
          </cell>
          <cell r="AF27">
            <v>-15.957999999999974</v>
          </cell>
          <cell r="AG27" t="e">
            <v>#N/A</v>
          </cell>
          <cell r="AH27" t="e">
            <v>#N/A</v>
          </cell>
        </row>
        <row r="28">
          <cell r="A28" t="str">
            <v>EARA</v>
          </cell>
          <cell r="B28" t="str">
            <v>A</v>
          </cell>
          <cell r="C28" t="str">
            <v>EAR</v>
          </cell>
          <cell r="D28" t="str">
            <v>ETUDES ARA</v>
          </cell>
          <cell r="E28">
            <v>0</v>
          </cell>
          <cell r="F28">
            <v>561.96</v>
          </cell>
          <cell r="G28">
            <v>0</v>
          </cell>
          <cell r="H28">
            <v>0</v>
          </cell>
          <cell r="I28">
            <v>49.2</v>
          </cell>
          <cell r="J28">
            <v>15.15</v>
          </cell>
          <cell r="K28">
            <v>34.049999999999997</v>
          </cell>
          <cell r="L28">
            <v>-49.2</v>
          </cell>
          <cell r="M28">
            <v>-49.2</v>
          </cell>
          <cell r="N28">
            <v>600</v>
          </cell>
          <cell r="O28">
            <v>599.83000000000004</v>
          </cell>
          <cell r="P28">
            <v>611.16</v>
          </cell>
          <cell r="Q28">
            <v>577.11</v>
          </cell>
          <cell r="R28">
            <v>561.96</v>
          </cell>
          <cell r="S28">
            <v>34.049999999999997</v>
          </cell>
          <cell r="T28">
            <v>-11.329999999999927</v>
          </cell>
          <cell r="U28">
            <v>-11.159999999999968</v>
          </cell>
          <cell r="V28">
            <v>0</v>
          </cell>
          <cell r="W28">
            <v>0</v>
          </cell>
          <cell r="X28">
            <v>0</v>
          </cell>
          <cell r="Y28">
            <v>600</v>
          </cell>
          <cell r="Z28">
            <v>0</v>
          </cell>
          <cell r="AA28">
            <v>-11.160000000000082</v>
          </cell>
          <cell r="AB28">
            <v>49.2</v>
          </cell>
          <cell r="AC28">
            <v>49.2</v>
          </cell>
          <cell r="AD28">
            <v>15.15</v>
          </cell>
          <cell r="AE28">
            <v>0</v>
          </cell>
          <cell r="AF28">
            <v>-11.33</v>
          </cell>
          <cell r="AG28" t="e">
            <v>#N/A</v>
          </cell>
          <cell r="AH28" t="e">
            <v>#N/A</v>
          </cell>
        </row>
        <row r="29">
          <cell r="A29" t="str">
            <v>EHEA</v>
          </cell>
          <cell r="B29" t="str">
            <v>A</v>
          </cell>
          <cell r="C29" t="str">
            <v>EHE</v>
          </cell>
          <cell r="D29" t="str">
            <v>ETUDES HEL</v>
          </cell>
          <cell r="E29">
            <v>0</v>
          </cell>
          <cell r="F29">
            <v>142.47999999999999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317</v>
          </cell>
          <cell r="O29">
            <v>319.41000000000003</v>
          </cell>
          <cell r="P29">
            <v>142.47999999999999</v>
          </cell>
          <cell r="Q29">
            <v>142.47999999999999</v>
          </cell>
          <cell r="R29">
            <v>142.47999999999999</v>
          </cell>
          <cell r="S29">
            <v>0</v>
          </cell>
          <cell r="T29">
            <v>176.93000000000004</v>
          </cell>
          <cell r="U29">
            <v>174.52</v>
          </cell>
          <cell r="V29">
            <v>0</v>
          </cell>
          <cell r="W29">
            <v>0</v>
          </cell>
          <cell r="X29">
            <v>0</v>
          </cell>
          <cell r="Y29">
            <v>295</v>
          </cell>
          <cell r="Z29">
            <v>0</v>
          </cell>
          <cell r="AA29">
            <v>152.52000000000001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176.93</v>
          </cell>
          <cell r="AG29" t="e">
            <v>#N/A</v>
          </cell>
          <cell r="AH29" t="e">
            <v>#N/A</v>
          </cell>
        </row>
        <row r="30">
          <cell r="A30" t="str">
            <v>FADA</v>
          </cell>
          <cell r="B30" t="str">
            <v>A</v>
          </cell>
          <cell r="C30" t="str">
            <v>FAD</v>
          </cell>
          <cell r="D30" t="str">
            <v>FADEC</v>
          </cell>
          <cell r="E30">
            <v>226</v>
          </cell>
          <cell r="F30">
            <v>1091.98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1025</v>
          </cell>
          <cell r="O30">
            <v>1134.0509999999999</v>
          </cell>
          <cell r="P30">
            <v>1091.98</v>
          </cell>
          <cell r="Q30">
            <v>1091.98</v>
          </cell>
          <cell r="R30">
            <v>1091.98</v>
          </cell>
          <cell r="S30">
            <v>0</v>
          </cell>
          <cell r="T30">
            <v>42.070999999999913</v>
          </cell>
          <cell r="U30">
            <v>-66.980000000000018</v>
          </cell>
          <cell r="V30">
            <v>0</v>
          </cell>
          <cell r="W30">
            <v>0</v>
          </cell>
          <cell r="X30">
            <v>0</v>
          </cell>
          <cell r="Y30">
            <v>6247</v>
          </cell>
          <cell r="Z30">
            <v>0</v>
          </cell>
          <cell r="AA30">
            <v>5155.0200000000004</v>
          </cell>
          <cell r="AB30">
            <v>0</v>
          </cell>
          <cell r="AC30">
            <v>0</v>
          </cell>
          <cell r="AD30">
            <v>0</v>
          </cell>
          <cell r="AE30">
            <v>38.28</v>
          </cell>
          <cell r="AF30">
            <v>4.8750000000000213</v>
          </cell>
          <cell r="AG30" t="e">
            <v>#N/A</v>
          </cell>
          <cell r="AH30" t="e">
            <v>#N/A</v>
          </cell>
        </row>
        <row r="31">
          <cell r="A31" t="str">
            <v>FM1A</v>
          </cell>
          <cell r="B31" t="str">
            <v>A</v>
          </cell>
          <cell r="C31" t="str">
            <v>FM1</v>
          </cell>
          <cell r="D31" t="str">
            <v>FMC1</v>
          </cell>
          <cell r="E31">
            <v>0</v>
          </cell>
          <cell r="F31">
            <v>177.04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50</v>
          </cell>
          <cell r="O31">
            <v>0</v>
          </cell>
          <cell r="P31">
            <v>177.04</v>
          </cell>
          <cell r="Q31">
            <v>177.04</v>
          </cell>
          <cell r="R31">
            <v>177.04</v>
          </cell>
          <cell r="S31">
            <v>0</v>
          </cell>
          <cell r="T31">
            <v>-177.04</v>
          </cell>
          <cell r="U31">
            <v>-127.03999999999999</v>
          </cell>
          <cell r="V31">
            <v>0</v>
          </cell>
          <cell r="W31">
            <v>0</v>
          </cell>
          <cell r="X31">
            <v>0</v>
          </cell>
          <cell r="Y31">
            <v>50</v>
          </cell>
          <cell r="Z31">
            <v>0</v>
          </cell>
          <cell r="AA31">
            <v>-127.04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-177.04</v>
          </cell>
          <cell r="AG31" t="e">
            <v>#N/A</v>
          </cell>
          <cell r="AH31" t="e">
            <v>#N/A</v>
          </cell>
        </row>
        <row r="32">
          <cell r="A32" t="str">
            <v>GEXA</v>
          </cell>
          <cell r="B32" t="str">
            <v>A</v>
          </cell>
          <cell r="C32" t="str">
            <v>GEX</v>
          </cell>
          <cell r="D32" t="str">
            <v>GEX</v>
          </cell>
          <cell r="E32">
            <v>0</v>
          </cell>
          <cell r="F32">
            <v>1726.6</v>
          </cell>
          <cell r="G32">
            <v>0</v>
          </cell>
          <cell r="H32">
            <v>487.16</v>
          </cell>
          <cell r="I32">
            <v>429.66</v>
          </cell>
          <cell r="J32">
            <v>898.17</v>
          </cell>
          <cell r="K32">
            <v>-468.51</v>
          </cell>
          <cell r="L32">
            <v>57.5</v>
          </cell>
          <cell r="M32">
            <v>-429.66</v>
          </cell>
          <cell r="N32">
            <v>1450</v>
          </cell>
          <cell r="O32">
            <v>1787.61</v>
          </cell>
          <cell r="P32">
            <v>2156.2600000000002</v>
          </cell>
          <cell r="Q32">
            <v>2624.77</v>
          </cell>
          <cell r="R32">
            <v>2197.7600000000002</v>
          </cell>
          <cell r="S32">
            <v>-468.51</v>
          </cell>
          <cell r="T32">
            <v>-368.65000000000032</v>
          </cell>
          <cell r="U32">
            <v>-706.26000000000022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-2156.2600000000002</v>
          </cell>
          <cell r="AB32">
            <v>429.66</v>
          </cell>
          <cell r="AC32">
            <v>-41.5</v>
          </cell>
          <cell r="AD32">
            <v>427.01</v>
          </cell>
          <cell r="AE32">
            <v>0</v>
          </cell>
          <cell r="AF32">
            <v>-368.65</v>
          </cell>
          <cell r="AG32" t="e">
            <v>#N/A</v>
          </cell>
          <cell r="AH32" t="e">
            <v>#N/A</v>
          </cell>
        </row>
        <row r="33">
          <cell r="A33" t="str">
            <v>HELA</v>
          </cell>
          <cell r="B33" t="str">
            <v>A</v>
          </cell>
          <cell r="C33" t="str">
            <v>HEL</v>
          </cell>
          <cell r="D33" t="str">
            <v>RAO HEL</v>
          </cell>
          <cell r="E33">
            <v>0</v>
          </cell>
          <cell r="F33">
            <v>561.61</v>
          </cell>
          <cell r="G33">
            <v>0</v>
          </cell>
          <cell r="H33">
            <v>0</v>
          </cell>
          <cell r="I33">
            <v>0</v>
          </cell>
          <cell r="J33">
            <v>15.16</v>
          </cell>
          <cell r="K33">
            <v>-15.16</v>
          </cell>
          <cell r="L33">
            <v>0</v>
          </cell>
          <cell r="M33">
            <v>0</v>
          </cell>
          <cell r="N33">
            <v>150</v>
          </cell>
          <cell r="O33">
            <v>210</v>
          </cell>
          <cell r="P33">
            <v>655.09</v>
          </cell>
          <cell r="Q33">
            <v>576.77</v>
          </cell>
          <cell r="R33">
            <v>561.61</v>
          </cell>
          <cell r="S33">
            <v>16</v>
          </cell>
          <cell r="T33">
            <v>-445.09000000000003</v>
          </cell>
          <cell r="U33">
            <v>-505.09000000000003</v>
          </cell>
          <cell r="V33">
            <v>0</v>
          </cell>
          <cell r="W33">
            <v>0</v>
          </cell>
          <cell r="X33">
            <v>0</v>
          </cell>
          <cell r="Y33">
            <v>150</v>
          </cell>
          <cell r="Z33">
            <v>0</v>
          </cell>
          <cell r="AA33">
            <v>-505.09</v>
          </cell>
          <cell r="AB33">
            <v>0</v>
          </cell>
          <cell r="AC33">
            <v>31.16</v>
          </cell>
          <cell r="AD33">
            <v>15.16</v>
          </cell>
          <cell r="AE33">
            <v>0</v>
          </cell>
          <cell r="AF33">
            <v>-445.09</v>
          </cell>
          <cell r="AG33" t="e">
            <v>#N/A</v>
          </cell>
          <cell r="AH33" t="e">
            <v>#N/A</v>
          </cell>
        </row>
        <row r="34">
          <cell r="A34" t="str">
            <v>MDTA</v>
          </cell>
          <cell r="B34" t="str">
            <v>A</v>
          </cell>
          <cell r="C34" t="str">
            <v>MDT</v>
          </cell>
          <cell r="D34" t="str">
            <v>MOYENS DE TEST</v>
          </cell>
          <cell r="E34">
            <v>0</v>
          </cell>
          <cell r="F34">
            <v>1062.2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970</v>
          </cell>
          <cell r="O34">
            <v>970.16</v>
          </cell>
          <cell r="P34">
            <v>1062.2</v>
          </cell>
          <cell r="Q34">
            <v>1062.2</v>
          </cell>
          <cell r="R34">
            <v>1062.2</v>
          </cell>
          <cell r="S34">
            <v>0</v>
          </cell>
          <cell r="T34">
            <v>-92.040000000000077</v>
          </cell>
          <cell r="U34">
            <v>-92.200000000000045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-1062.2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-92.040000000000077</v>
          </cell>
          <cell r="AG34" t="e">
            <v>#N/A</v>
          </cell>
          <cell r="AH34" t="e">
            <v>#N/A</v>
          </cell>
        </row>
        <row r="35">
          <cell r="A35" t="str">
            <v>MIRA</v>
          </cell>
          <cell r="B35" t="str">
            <v>A</v>
          </cell>
          <cell r="C35" t="str">
            <v>MIR</v>
          </cell>
          <cell r="D35" t="str">
            <v>MIRAGE</v>
          </cell>
          <cell r="E35">
            <v>234</v>
          </cell>
          <cell r="F35">
            <v>4637.28</v>
          </cell>
          <cell r="G35">
            <v>0</v>
          </cell>
          <cell r="H35">
            <v>0</v>
          </cell>
          <cell r="I35">
            <v>3.77</v>
          </cell>
          <cell r="J35">
            <v>3.77</v>
          </cell>
          <cell r="K35">
            <v>0</v>
          </cell>
          <cell r="L35">
            <v>-3.77</v>
          </cell>
          <cell r="M35">
            <v>-3.77</v>
          </cell>
          <cell r="N35">
            <v>4341.8</v>
          </cell>
          <cell r="O35">
            <v>4262.862000000001</v>
          </cell>
          <cell r="P35">
            <v>4641.05</v>
          </cell>
          <cell r="Q35">
            <v>4641.05</v>
          </cell>
          <cell r="R35">
            <v>4641.05</v>
          </cell>
          <cell r="S35">
            <v>0</v>
          </cell>
          <cell r="T35">
            <v>-378.18799999999919</v>
          </cell>
          <cell r="U35">
            <v>-299.25</v>
          </cell>
          <cell r="V35">
            <v>0</v>
          </cell>
          <cell r="W35">
            <v>0</v>
          </cell>
          <cell r="X35">
            <v>0</v>
          </cell>
          <cell r="Y35">
            <v>4235</v>
          </cell>
          <cell r="Z35">
            <v>0</v>
          </cell>
          <cell r="AA35">
            <v>-406.05000000000109</v>
          </cell>
          <cell r="AB35">
            <v>3.77</v>
          </cell>
          <cell r="AC35">
            <v>0</v>
          </cell>
          <cell r="AD35">
            <v>0</v>
          </cell>
          <cell r="AE35">
            <v>70.819999999999993</v>
          </cell>
          <cell r="AF35">
            <v>-449.00799999999992</v>
          </cell>
          <cell r="AG35" t="e">
            <v>#N/A</v>
          </cell>
          <cell r="AH35" t="e">
            <v>#N/A</v>
          </cell>
        </row>
        <row r="36">
          <cell r="A36" t="str">
            <v>NH9A</v>
          </cell>
          <cell r="B36" t="str">
            <v>A</v>
          </cell>
          <cell r="C36" t="str">
            <v>NH9</v>
          </cell>
          <cell r="D36" t="str">
            <v>NH90</v>
          </cell>
          <cell r="E36">
            <v>0</v>
          </cell>
          <cell r="F36">
            <v>2315.9299999999998</v>
          </cell>
          <cell r="G36">
            <v>0</v>
          </cell>
          <cell r="H36">
            <v>0</v>
          </cell>
          <cell r="I36">
            <v>53.7</v>
          </cell>
          <cell r="J36">
            <v>53.699999999999818</v>
          </cell>
          <cell r="K36">
            <v>0</v>
          </cell>
          <cell r="L36">
            <v>-53.7</v>
          </cell>
          <cell r="M36">
            <v>-53.7</v>
          </cell>
          <cell r="N36">
            <v>1773</v>
          </cell>
          <cell r="O36">
            <v>1761.0119999999999</v>
          </cell>
          <cell r="P36">
            <v>2369.63</v>
          </cell>
          <cell r="Q36">
            <v>2369.63</v>
          </cell>
          <cell r="R36">
            <v>2369.63</v>
          </cell>
          <cell r="S36">
            <v>0</v>
          </cell>
          <cell r="T36">
            <v>-608.61800000000017</v>
          </cell>
          <cell r="U36">
            <v>-596.63000000000011</v>
          </cell>
          <cell r="V36">
            <v>0</v>
          </cell>
          <cell r="W36">
            <v>0</v>
          </cell>
          <cell r="X36">
            <v>0</v>
          </cell>
          <cell r="Y36">
            <v>1773</v>
          </cell>
          <cell r="Z36">
            <v>0</v>
          </cell>
          <cell r="AA36">
            <v>-596.63</v>
          </cell>
          <cell r="AB36">
            <v>53.699999999999818</v>
          </cell>
          <cell r="AC36">
            <v>0</v>
          </cell>
          <cell r="AD36">
            <v>0</v>
          </cell>
          <cell r="AE36">
            <v>0</v>
          </cell>
          <cell r="AF36">
            <v>-608.61800000000005</v>
          </cell>
          <cell r="AG36" t="e">
            <v>#N/A</v>
          </cell>
          <cell r="AH36" t="e">
            <v>#N/A</v>
          </cell>
        </row>
        <row r="37">
          <cell r="A37" t="str">
            <v>NMRA</v>
          </cell>
          <cell r="B37" t="str">
            <v>A</v>
          </cell>
          <cell r="C37" t="str">
            <v>NMR</v>
          </cell>
          <cell r="D37" t="str">
            <v>NIMROD</v>
          </cell>
          <cell r="E37">
            <v>0</v>
          </cell>
          <cell r="F37">
            <v>111.3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380</v>
          </cell>
          <cell r="O37">
            <v>363.30039999999997</v>
          </cell>
          <cell r="P37">
            <v>111.3</v>
          </cell>
          <cell r="Q37">
            <v>111.3</v>
          </cell>
          <cell r="R37">
            <v>111.3</v>
          </cell>
          <cell r="S37">
            <v>0</v>
          </cell>
          <cell r="T37">
            <v>252.00039999999996</v>
          </cell>
          <cell r="U37">
            <v>268.7</v>
          </cell>
          <cell r="V37">
            <v>0</v>
          </cell>
          <cell r="W37">
            <v>0</v>
          </cell>
          <cell r="X37">
            <v>0</v>
          </cell>
          <cell r="Y37">
            <v>380</v>
          </cell>
          <cell r="Z37">
            <v>0</v>
          </cell>
          <cell r="AA37">
            <v>268.7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252.00039999999996</v>
          </cell>
          <cell r="AG37" t="e">
            <v>#N/A</v>
          </cell>
          <cell r="AH37" t="e">
            <v>#N/A</v>
          </cell>
        </row>
        <row r="38">
          <cell r="A38" t="str">
            <v>OBSA</v>
          </cell>
          <cell r="B38" t="str">
            <v>A</v>
          </cell>
          <cell r="C38" t="str">
            <v>OBS</v>
          </cell>
          <cell r="D38" t="str">
            <v>OBSOLESCENCE</v>
          </cell>
          <cell r="E38">
            <v>0</v>
          </cell>
          <cell r="F38">
            <v>1220.03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614</v>
          </cell>
          <cell r="O38">
            <v>3592.6246699999992</v>
          </cell>
          <cell r="P38">
            <v>2176.0300000000002</v>
          </cell>
          <cell r="Q38">
            <v>1220.03</v>
          </cell>
          <cell r="R38">
            <v>1220.03</v>
          </cell>
          <cell r="S38">
            <v>0</v>
          </cell>
          <cell r="T38">
            <v>1416.594669999999</v>
          </cell>
          <cell r="U38">
            <v>-1562.0300000000002</v>
          </cell>
          <cell r="V38">
            <v>956</v>
          </cell>
          <cell r="W38">
            <v>0</v>
          </cell>
          <cell r="X38">
            <v>0</v>
          </cell>
          <cell r="Y38">
            <v>2000</v>
          </cell>
          <cell r="Z38">
            <v>0</v>
          </cell>
          <cell r="AA38">
            <v>-176.03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1416.59467</v>
          </cell>
          <cell r="AG38" t="e">
            <v>#N/A</v>
          </cell>
          <cell r="AH38" t="e">
            <v>#N/A</v>
          </cell>
        </row>
        <row r="39">
          <cell r="A39" t="str">
            <v>PRTA</v>
          </cell>
          <cell r="B39" t="str">
            <v>A</v>
          </cell>
          <cell r="C39" t="str">
            <v>PRT</v>
          </cell>
          <cell r="D39" t="str">
            <v>PRINTER</v>
          </cell>
          <cell r="E39">
            <v>0</v>
          </cell>
          <cell r="F39">
            <v>162.74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125</v>
          </cell>
          <cell r="O39">
            <v>125</v>
          </cell>
          <cell r="P39">
            <v>162.74</v>
          </cell>
          <cell r="Q39">
            <v>162.74</v>
          </cell>
          <cell r="R39">
            <v>162.74</v>
          </cell>
          <cell r="S39">
            <v>0</v>
          </cell>
          <cell r="T39">
            <v>-37.740000000000009</v>
          </cell>
          <cell r="U39">
            <v>-37.740000000000009</v>
          </cell>
          <cell r="V39">
            <v>0</v>
          </cell>
          <cell r="W39">
            <v>0</v>
          </cell>
          <cell r="X39">
            <v>0</v>
          </cell>
          <cell r="Y39">
            <v>125</v>
          </cell>
          <cell r="Z39">
            <v>0</v>
          </cell>
          <cell r="AA39">
            <v>-37.74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-37.74</v>
          </cell>
          <cell r="AG39" t="e">
            <v>#N/A</v>
          </cell>
          <cell r="AH39" t="e">
            <v>#N/A</v>
          </cell>
        </row>
        <row r="40">
          <cell r="A40" t="str">
            <v>RAFA</v>
          </cell>
          <cell r="B40" t="str">
            <v>A</v>
          </cell>
          <cell r="C40" t="str">
            <v>RAF</v>
          </cell>
          <cell r="D40" t="str">
            <v>RAFALE</v>
          </cell>
          <cell r="E40">
            <v>0</v>
          </cell>
          <cell r="F40">
            <v>9335.2800000000007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8855</v>
          </cell>
          <cell r="O40">
            <v>9163.7259663716832</v>
          </cell>
          <cell r="P40">
            <v>9335.2800000000007</v>
          </cell>
          <cell r="Q40">
            <v>9335.2800000000007</v>
          </cell>
          <cell r="R40">
            <v>9335.2800000000007</v>
          </cell>
          <cell r="S40">
            <v>0</v>
          </cell>
          <cell r="T40">
            <v>-171.55403362831748</v>
          </cell>
          <cell r="U40">
            <v>-480.28000000000065</v>
          </cell>
          <cell r="V40">
            <v>0</v>
          </cell>
          <cell r="W40">
            <v>0</v>
          </cell>
          <cell r="X40">
            <v>0</v>
          </cell>
          <cell r="Y40">
            <v>8725</v>
          </cell>
          <cell r="Z40">
            <v>0</v>
          </cell>
          <cell r="AA40">
            <v>-610.27999999999884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-171.55403362831814</v>
          </cell>
          <cell r="AG40" t="e">
            <v>#N/A</v>
          </cell>
          <cell r="AH40" t="e">
            <v>#N/A</v>
          </cell>
        </row>
        <row r="41">
          <cell r="A41" t="str">
            <v>RJXA</v>
          </cell>
          <cell r="B41" t="str">
            <v>A</v>
          </cell>
          <cell r="C41" t="str">
            <v>RJX</v>
          </cell>
          <cell r="D41" t="str">
            <v>RJ700</v>
          </cell>
          <cell r="E41">
            <v>0</v>
          </cell>
          <cell r="F41">
            <v>0</v>
          </cell>
          <cell r="G41">
            <v>0</v>
          </cell>
          <cell r="H41">
            <v>336.92</v>
          </cell>
          <cell r="I41">
            <v>336.92</v>
          </cell>
          <cell r="J41">
            <v>238.43</v>
          </cell>
          <cell r="K41">
            <v>98.49</v>
          </cell>
          <cell r="L41">
            <v>0</v>
          </cell>
          <cell r="M41">
            <v>-336.92</v>
          </cell>
          <cell r="N41">
            <v>1837</v>
          </cell>
          <cell r="O41">
            <v>1660.28</v>
          </cell>
          <cell r="P41">
            <v>1659.92</v>
          </cell>
          <cell r="Q41">
            <v>238.43</v>
          </cell>
          <cell r="R41">
            <v>0</v>
          </cell>
          <cell r="S41">
            <v>98.49</v>
          </cell>
          <cell r="T41">
            <v>0.35999999999989996</v>
          </cell>
          <cell r="U41">
            <v>177.07999999999993</v>
          </cell>
          <cell r="V41">
            <v>1323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-1659.92</v>
          </cell>
          <cell r="AB41">
            <v>336.92</v>
          </cell>
          <cell r="AC41">
            <v>336.92</v>
          </cell>
          <cell r="AD41">
            <v>238.43</v>
          </cell>
          <cell r="AE41">
            <v>0</v>
          </cell>
          <cell r="AF41">
            <v>0.35999999999989996</v>
          </cell>
          <cell r="AG41" t="e">
            <v>#N/A</v>
          </cell>
          <cell r="AH41" t="e">
            <v>#N/A</v>
          </cell>
        </row>
        <row r="42">
          <cell r="A42" t="str">
            <v>TIGA</v>
          </cell>
          <cell r="B42" t="str">
            <v>A</v>
          </cell>
          <cell r="C42" t="str">
            <v>TIG</v>
          </cell>
          <cell r="D42" t="str">
            <v>TIGRE</v>
          </cell>
          <cell r="E42">
            <v>0</v>
          </cell>
          <cell r="F42">
            <v>1660.11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1204</v>
          </cell>
          <cell r="O42">
            <v>1400.4099911504425</v>
          </cell>
          <cell r="P42">
            <v>1660.11</v>
          </cell>
          <cell r="Q42">
            <v>1660.11</v>
          </cell>
          <cell r="R42">
            <v>1660.11</v>
          </cell>
          <cell r="S42">
            <v>0</v>
          </cell>
          <cell r="T42">
            <v>-259.70000884955743</v>
          </cell>
          <cell r="U42">
            <v>-456.1099999999999</v>
          </cell>
          <cell r="V42">
            <v>0</v>
          </cell>
          <cell r="W42">
            <v>0</v>
          </cell>
          <cell r="X42">
            <v>0</v>
          </cell>
          <cell r="Y42">
            <v>1203</v>
          </cell>
          <cell r="Z42">
            <v>0</v>
          </cell>
          <cell r="AA42">
            <v>-457.11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-259.70000884955761</v>
          </cell>
          <cell r="AG42" t="e">
            <v>#N/A</v>
          </cell>
          <cell r="AH42" t="e">
            <v>#N/A</v>
          </cell>
        </row>
        <row r="43">
          <cell r="A43" t="str">
            <v>TOTA</v>
          </cell>
          <cell r="B43" t="str">
            <v>A</v>
          </cell>
          <cell r="C43" t="str">
            <v>TOT</v>
          </cell>
          <cell r="D43" t="str">
            <v>TOTEM 3000</v>
          </cell>
          <cell r="E43">
            <v>2288</v>
          </cell>
          <cell r="F43">
            <v>12339.85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12856</v>
          </cell>
          <cell r="O43">
            <v>12247.793399999999</v>
          </cell>
          <cell r="P43">
            <v>12339.85</v>
          </cell>
          <cell r="Q43">
            <v>12339.85</v>
          </cell>
          <cell r="R43">
            <v>12339.85</v>
          </cell>
          <cell r="S43">
            <v>0</v>
          </cell>
          <cell r="T43">
            <v>-92.056600000001708</v>
          </cell>
          <cell r="U43">
            <v>516.14999999999964</v>
          </cell>
          <cell r="V43">
            <v>0</v>
          </cell>
          <cell r="W43">
            <v>0</v>
          </cell>
          <cell r="X43">
            <v>0</v>
          </cell>
          <cell r="Y43">
            <v>10778</v>
          </cell>
          <cell r="Z43">
            <v>320</v>
          </cell>
          <cell r="AA43">
            <v>-1561.85</v>
          </cell>
          <cell r="AB43">
            <v>0</v>
          </cell>
          <cell r="AC43">
            <v>0</v>
          </cell>
          <cell r="AD43">
            <v>0</v>
          </cell>
          <cell r="AE43">
            <v>167.27</v>
          </cell>
          <cell r="AF43">
            <v>-259.32659999999998</v>
          </cell>
          <cell r="AG43" t="e">
            <v>#N/A</v>
          </cell>
          <cell r="AH43" t="e">
            <v>#N/A</v>
          </cell>
        </row>
        <row r="44">
          <cell r="A44" t="str">
            <v>ACHI</v>
          </cell>
          <cell r="B44" t="str">
            <v>I</v>
          </cell>
          <cell r="C44" t="str">
            <v>ACH</v>
          </cell>
          <cell r="D44" t="str">
            <v>FRAIS ACHATS</v>
          </cell>
          <cell r="E44">
            <v>0</v>
          </cell>
          <cell r="F44">
            <v>0</v>
          </cell>
          <cell r="G44">
            <v>0</v>
          </cell>
          <cell r="H44">
            <v>2399.06</v>
          </cell>
          <cell r="I44">
            <v>2961.12</v>
          </cell>
          <cell r="J44">
            <v>2968.73</v>
          </cell>
          <cell r="K44">
            <v>-7.6099999999999852</v>
          </cell>
          <cell r="L44">
            <v>-562.05999999999995</v>
          </cell>
          <cell r="M44">
            <v>-2961.12</v>
          </cell>
          <cell r="N44">
            <v>0</v>
          </cell>
          <cell r="O44">
            <v>9810.3320000000003</v>
          </cell>
          <cell r="P44">
            <v>10372.392</v>
          </cell>
          <cell r="Q44">
            <v>2968.73</v>
          </cell>
          <cell r="R44">
            <v>2217.36</v>
          </cell>
          <cell r="S44">
            <v>-7.6099999999999852</v>
          </cell>
          <cell r="T44">
            <v>-562.05999999999949</v>
          </cell>
          <cell r="U44">
            <v>-10372.392</v>
          </cell>
          <cell r="V44">
            <v>2434.7420000000002</v>
          </cell>
          <cell r="W44">
            <v>2470.424</v>
          </cell>
          <cell r="X44">
            <v>2506.1060000000002</v>
          </cell>
          <cell r="Y44">
            <v>0</v>
          </cell>
          <cell r="Z44">
            <v>0</v>
          </cell>
          <cell r="AA44">
            <v>-10372.392</v>
          </cell>
          <cell r="AB44">
            <v>2961.12</v>
          </cell>
          <cell r="AC44">
            <v>743.76</v>
          </cell>
          <cell r="AD44">
            <v>751.37</v>
          </cell>
          <cell r="AE44">
            <v>0</v>
          </cell>
          <cell r="AF44">
            <v>-562.05999999999995</v>
          </cell>
          <cell r="AG44" t="e">
            <v>#N/A</v>
          </cell>
          <cell r="AH44" t="e">
            <v>#N/A</v>
          </cell>
        </row>
        <row r="45">
          <cell r="A45" t="str">
            <v>DIVI</v>
          </cell>
          <cell r="B45" t="str">
            <v>I</v>
          </cell>
          <cell r="C45" t="str">
            <v>DIV</v>
          </cell>
          <cell r="D45" t="str">
            <v>INTERNE TBU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368.96</v>
          </cell>
          <cell r="P45">
            <v>368.96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-368.96</v>
          </cell>
          <cell r="V45">
            <v>368.96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-368.96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e">
            <v>#N/A</v>
          </cell>
          <cell r="AH45" t="e">
            <v>#N/A</v>
          </cell>
        </row>
        <row r="46">
          <cell r="A46" t="str">
            <v>INDI</v>
          </cell>
          <cell r="B46" t="str">
            <v>I</v>
          </cell>
          <cell r="C46" t="str">
            <v>IND</v>
          </cell>
          <cell r="D46" t="str">
            <v>DIVERS EXPL</v>
          </cell>
          <cell r="E46">
            <v>2299.5</v>
          </cell>
          <cell r="F46">
            <v>15691.78</v>
          </cell>
          <cell r="G46">
            <v>0</v>
          </cell>
          <cell r="H46">
            <v>15050.404410000001</v>
          </cell>
          <cell r="I46">
            <v>18768.342000000011</v>
          </cell>
          <cell r="J46">
            <v>17328.189999999999</v>
          </cell>
          <cell r="K46">
            <v>1443.1820000000007</v>
          </cell>
          <cell r="L46">
            <v>-3717.93759</v>
          </cell>
          <cell r="M46">
            <v>-18768.342000000011</v>
          </cell>
          <cell r="N46">
            <v>2030</v>
          </cell>
          <cell r="O46">
            <v>36995.876648575642</v>
          </cell>
          <cell r="P46">
            <v>41733.709078575623</v>
          </cell>
          <cell r="Q46">
            <v>33019.97</v>
          </cell>
          <cell r="R46">
            <v>27214.32</v>
          </cell>
          <cell r="S46">
            <v>1443.1820000000007</v>
          </cell>
          <cell r="T46">
            <v>-4737.8324299999804</v>
          </cell>
          <cell r="U46">
            <v>-39703.709078575623</v>
          </cell>
          <cell r="V46">
            <v>4273.5782009813611</v>
          </cell>
          <cell r="W46">
            <v>2000.0026445367102</v>
          </cell>
          <cell r="X46">
            <v>1000.0062330575601</v>
          </cell>
          <cell r="Y46">
            <v>0</v>
          </cell>
          <cell r="Z46">
            <v>0</v>
          </cell>
          <cell r="AA46">
            <v>-41733.709078575623</v>
          </cell>
          <cell r="AB46">
            <v>18768.342000000011</v>
          </cell>
          <cell r="AC46">
            <v>7245.8019999999997</v>
          </cell>
          <cell r="AD46">
            <v>5805.65</v>
          </cell>
          <cell r="AE46">
            <v>-120.52</v>
          </cell>
          <cell r="AF46">
            <v>-4669.1324299999951</v>
          </cell>
          <cell r="AG46" t="e">
            <v>#N/A</v>
          </cell>
          <cell r="AH46" t="e">
            <v>#N/A</v>
          </cell>
        </row>
        <row r="47">
          <cell r="A47" t="str">
            <v>L1JI</v>
          </cell>
          <cell r="B47" t="str">
            <v>I</v>
          </cell>
          <cell r="C47" t="str">
            <v>L1J</v>
          </cell>
          <cell r="D47" t="str">
            <v>ACC LIGNE 1</v>
          </cell>
          <cell r="E47">
            <v>650</v>
          </cell>
          <cell r="F47">
            <v>0</v>
          </cell>
          <cell r="G47">
            <v>0</v>
          </cell>
          <cell r="H47">
            <v>5207.7520000000004</v>
          </cell>
          <cell r="I47">
            <v>5031.482</v>
          </cell>
          <cell r="J47">
            <v>4737.09</v>
          </cell>
          <cell r="K47">
            <v>93.329999999999799</v>
          </cell>
          <cell r="L47">
            <v>176.27</v>
          </cell>
          <cell r="M47">
            <v>-5031.482</v>
          </cell>
          <cell r="N47">
            <v>0</v>
          </cell>
          <cell r="O47">
            <v>19568.172075500002</v>
          </cell>
          <cell r="P47">
            <v>19391.902075500006</v>
          </cell>
          <cell r="Q47">
            <v>4737.09</v>
          </cell>
          <cell r="R47">
            <v>3364.85</v>
          </cell>
          <cell r="S47">
            <v>93.329999999999799</v>
          </cell>
          <cell r="T47">
            <v>176.2699999999968</v>
          </cell>
          <cell r="U47">
            <v>-19391.902075500006</v>
          </cell>
          <cell r="V47">
            <v>4836.7886900000003</v>
          </cell>
          <cell r="W47">
            <v>4728.2415546000011</v>
          </cell>
          <cell r="X47">
            <v>4795.3898309000006</v>
          </cell>
          <cell r="Y47">
            <v>0</v>
          </cell>
          <cell r="Z47">
            <v>0</v>
          </cell>
          <cell r="AA47">
            <v>-19391.902075500006</v>
          </cell>
          <cell r="AB47">
            <v>5031.482</v>
          </cell>
          <cell r="AC47">
            <v>1666.6319999999996</v>
          </cell>
          <cell r="AD47">
            <v>1372.24</v>
          </cell>
          <cell r="AE47">
            <v>-8.4300000000000352</v>
          </cell>
          <cell r="AF47">
            <v>176.27</v>
          </cell>
          <cell r="AG47" t="e">
            <v>#N/A</v>
          </cell>
          <cell r="AH47" t="e">
            <v>#N/A</v>
          </cell>
        </row>
        <row r="48">
          <cell r="A48" t="str">
            <v>L2JI</v>
          </cell>
          <cell r="B48" t="str">
            <v>I</v>
          </cell>
          <cell r="C48" t="str">
            <v>L2J</v>
          </cell>
          <cell r="D48" t="str">
            <v>ACC LIGNE 2</v>
          </cell>
          <cell r="E48">
            <v>1300</v>
          </cell>
          <cell r="F48">
            <v>0</v>
          </cell>
          <cell r="G48">
            <v>0</v>
          </cell>
          <cell r="H48">
            <v>8169.2120000000004</v>
          </cell>
          <cell r="I48">
            <v>7549.6960000000017</v>
          </cell>
          <cell r="J48">
            <v>6719.06</v>
          </cell>
          <cell r="K48">
            <v>783.54</v>
          </cell>
          <cell r="L48">
            <v>619.51599999999996</v>
          </cell>
          <cell r="M48">
            <v>-7549.6960000000017</v>
          </cell>
          <cell r="N48">
            <v>6300</v>
          </cell>
          <cell r="O48">
            <v>29071.915897000003</v>
          </cell>
          <cell r="P48">
            <v>28452.399897000007</v>
          </cell>
          <cell r="Q48">
            <v>6719.06</v>
          </cell>
          <cell r="R48">
            <v>6316.67</v>
          </cell>
          <cell r="S48">
            <v>783.54</v>
          </cell>
          <cell r="T48">
            <v>619.51599999999598</v>
          </cell>
          <cell r="U48">
            <v>-22152.399897000007</v>
          </cell>
          <cell r="V48">
            <v>7095.6905500000012</v>
          </cell>
          <cell r="W48">
            <v>6854.8395960000007</v>
          </cell>
          <cell r="X48">
            <v>6952.1737510000003</v>
          </cell>
          <cell r="Y48">
            <v>0</v>
          </cell>
          <cell r="Z48">
            <v>0</v>
          </cell>
          <cell r="AA48">
            <v>-28452.399897000007</v>
          </cell>
          <cell r="AB48">
            <v>7549.6960000000017</v>
          </cell>
          <cell r="AC48">
            <v>1233.0260000000001</v>
          </cell>
          <cell r="AD48">
            <v>402.39</v>
          </cell>
          <cell r="AE48">
            <v>80.223999999999947</v>
          </cell>
          <cell r="AF48">
            <v>433.92</v>
          </cell>
          <cell r="AG48" t="e">
            <v>#N/A</v>
          </cell>
          <cell r="AH48" t="e">
            <v>#N/A</v>
          </cell>
        </row>
        <row r="49">
          <cell r="A49" t="str">
            <v>L3JI</v>
          </cell>
          <cell r="B49" t="str">
            <v>I</v>
          </cell>
          <cell r="C49" t="str">
            <v>L3J</v>
          </cell>
          <cell r="D49" t="str">
            <v>ACC LIGNE 3</v>
          </cell>
          <cell r="E49">
            <v>0</v>
          </cell>
          <cell r="F49">
            <v>0</v>
          </cell>
          <cell r="G49">
            <v>0</v>
          </cell>
          <cell r="H49">
            <v>4384.0010000000002</v>
          </cell>
          <cell r="I49">
            <v>4414.62</v>
          </cell>
          <cell r="J49">
            <v>4144.09</v>
          </cell>
          <cell r="K49">
            <v>270.52999999999997</v>
          </cell>
          <cell r="L49">
            <v>-30.618999999999971</v>
          </cell>
          <cell r="M49">
            <v>-4414.62</v>
          </cell>
          <cell r="N49">
            <v>0</v>
          </cell>
          <cell r="O49">
            <v>13512.944304000001</v>
          </cell>
          <cell r="P49">
            <v>13543.563304000001</v>
          </cell>
          <cell r="Q49">
            <v>4144.09</v>
          </cell>
          <cell r="R49">
            <v>3110.42</v>
          </cell>
          <cell r="S49">
            <v>270.52999999999997</v>
          </cell>
          <cell r="T49">
            <v>-30.619000000000597</v>
          </cell>
          <cell r="U49">
            <v>-13543.563304000001</v>
          </cell>
          <cell r="V49">
            <v>3103.9064199999998</v>
          </cell>
          <cell r="W49">
            <v>2991.2860968000005</v>
          </cell>
          <cell r="X49">
            <v>3033.750787200001</v>
          </cell>
          <cell r="Y49">
            <v>0</v>
          </cell>
          <cell r="Z49">
            <v>0</v>
          </cell>
          <cell r="AA49">
            <v>-13543.563304000001</v>
          </cell>
          <cell r="AB49">
            <v>4414.62</v>
          </cell>
          <cell r="AC49">
            <v>1304.2</v>
          </cell>
          <cell r="AD49">
            <v>1033.67</v>
          </cell>
          <cell r="AE49">
            <v>0</v>
          </cell>
          <cell r="AF49">
            <v>-30.618999999999971</v>
          </cell>
          <cell r="AG49" t="e">
            <v>#N/A</v>
          </cell>
          <cell r="AH49" t="e">
            <v>#N/A</v>
          </cell>
        </row>
        <row r="50">
          <cell r="A50" t="str">
            <v>L5JI</v>
          </cell>
          <cell r="B50" t="str">
            <v>I</v>
          </cell>
          <cell r="C50" t="str">
            <v>L5J</v>
          </cell>
          <cell r="D50" t="str">
            <v>ACC LIGNE 5</v>
          </cell>
          <cell r="E50">
            <v>0</v>
          </cell>
          <cell r="F50">
            <v>0</v>
          </cell>
          <cell r="G50">
            <v>0</v>
          </cell>
          <cell r="H50">
            <v>2699.1400001503998</v>
          </cell>
          <cell r="I50">
            <v>2542.33</v>
          </cell>
          <cell r="J50">
            <v>2513.75</v>
          </cell>
          <cell r="K50">
            <v>28.580000000000183</v>
          </cell>
          <cell r="L50">
            <v>156.81000015040013</v>
          </cell>
          <cell r="M50">
            <v>-2542.33</v>
          </cell>
          <cell r="N50">
            <v>2700</v>
          </cell>
          <cell r="O50">
            <v>3892.2953851503999</v>
          </cell>
          <cell r="P50">
            <v>3735.4853850000004</v>
          </cell>
          <cell r="Q50">
            <v>2513.75</v>
          </cell>
          <cell r="R50">
            <v>2113.6799999999998</v>
          </cell>
          <cell r="S50">
            <v>28.580000000000183</v>
          </cell>
          <cell r="T50">
            <v>156.81000015039945</v>
          </cell>
          <cell r="U50">
            <v>-1035.4853850000004</v>
          </cell>
          <cell r="V50">
            <v>385.08132000000006</v>
          </cell>
          <cell r="W50">
            <v>401.18216059999997</v>
          </cell>
          <cell r="X50">
            <v>406.89190440000004</v>
          </cell>
          <cell r="Y50">
            <v>0</v>
          </cell>
          <cell r="Z50">
            <v>0</v>
          </cell>
          <cell r="AA50">
            <v>-3735.4853850000004</v>
          </cell>
          <cell r="AB50">
            <v>2542.33</v>
          </cell>
          <cell r="AC50">
            <v>428.65</v>
          </cell>
          <cell r="AD50">
            <v>400.07</v>
          </cell>
          <cell r="AE50">
            <v>0</v>
          </cell>
          <cell r="AF50">
            <v>156.81000015040013</v>
          </cell>
          <cell r="AG50" t="e">
            <v>#N/A</v>
          </cell>
          <cell r="AH50" t="e">
            <v>#N/A</v>
          </cell>
        </row>
        <row r="51">
          <cell r="A51" t="str">
            <v>L6JI</v>
          </cell>
          <cell r="B51" t="str">
            <v>I</v>
          </cell>
          <cell r="C51" t="str">
            <v>L6J</v>
          </cell>
          <cell r="D51" t="str">
            <v>ACC LIGNE 6</v>
          </cell>
          <cell r="E51">
            <v>0</v>
          </cell>
          <cell r="F51">
            <v>0</v>
          </cell>
          <cell r="G51">
            <v>0</v>
          </cell>
          <cell r="H51">
            <v>373.92</v>
          </cell>
          <cell r="I51">
            <v>343.2</v>
          </cell>
          <cell r="J51">
            <v>366.22</v>
          </cell>
          <cell r="K51">
            <v>-23.02</v>
          </cell>
          <cell r="L51">
            <v>30.72</v>
          </cell>
          <cell r="M51">
            <v>-343.2</v>
          </cell>
          <cell r="N51">
            <v>300</v>
          </cell>
          <cell r="O51">
            <v>6599.2755275</v>
          </cell>
          <cell r="P51">
            <v>6568.5555275000006</v>
          </cell>
          <cell r="Q51">
            <v>366.22</v>
          </cell>
          <cell r="R51">
            <v>246.9</v>
          </cell>
          <cell r="S51">
            <v>-23.02</v>
          </cell>
          <cell r="T51">
            <v>30.719999999999345</v>
          </cell>
          <cell r="U51">
            <v>-6268.5555275000006</v>
          </cell>
          <cell r="V51">
            <v>2012.5037500000003</v>
          </cell>
          <cell r="W51">
            <v>2091.5340144000002</v>
          </cell>
          <cell r="X51">
            <v>2121.3177631000003</v>
          </cell>
          <cell r="Y51">
            <v>0</v>
          </cell>
          <cell r="Z51">
            <v>0</v>
          </cell>
          <cell r="AA51">
            <v>-6568.5555275000006</v>
          </cell>
          <cell r="AB51">
            <v>343.2</v>
          </cell>
          <cell r="AC51">
            <v>96.3</v>
          </cell>
          <cell r="AD51">
            <v>119.32</v>
          </cell>
          <cell r="AE51">
            <v>0</v>
          </cell>
          <cell r="AF51">
            <v>30.72</v>
          </cell>
          <cell r="AG51" t="e">
            <v>#N/A</v>
          </cell>
          <cell r="AH51" t="e">
            <v>#N/A</v>
          </cell>
        </row>
        <row r="52">
          <cell r="A52" t="str">
            <v>LXJI</v>
          </cell>
          <cell r="B52" t="str">
            <v>I</v>
          </cell>
          <cell r="C52" t="str">
            <v>LXJ</v>
          </cell>
          <cell r="D52" t="str">
            <v>ACC DIVERS</v>
          </cell>
          <cell r="E52">
            <v>0</v>
          </cell>
          <cell r="F52">
            <v>0</v>
          </cell>
          <cell r="G52">
            <v>0</v>
          </cell>
          <cell r="H52">
            <v>6670.7449999999999</v>
          </cell>
          <cell r="I52">
            <v>9485.36</v>
          </cell>
          <cell r="J52">
            <v>8447.66</v>
          </cell>
          <cell r="K52">
            <v>1037.7</v>
          </cell>
          <cell r="L52">
            <v>-2814.6150000000007</v>
          </cell>
          <cell r="M52">
            <v>-9485.36</v>
          </cell>
          <cell r="N52">
            <v>1300</v>
          </cell>
          <cell r="O52">
            <v>28068.849572500003</v>
          </cell>
          <cell r="P52">
            <v>30883.464572500001</v>
          </cell>
          <cell r="Q52">
            <v>8447.66</v>
          </cell>
          <cell r="R52">
            <v>6676.65</v>
          </cell>
          <cell r="S52">
            <v>1037.7</v>
          </cell>
          <cell r="T52">
            <v>-2814.614999999998</v>
          </cell>
          <cell r="U52">
            <v>-29583.464572500001</v>
          </cell>
          <cell r="V52">
            <v>7351.7648900000004</v>
          </cell>
          <cell r="W52">
            <v>6972.9164374000002</v>
          </cell>
          <cell r="X52">
            <v>7073.4232451000007</v>
          </cell>
          <cell r="Y52">
            <v>0</v>
          </cell>
          <cell r="Z52">
            <v>0</v>
          </cell>
          <cell r="AA52">
            <v>-30883.464572500001</v>
          </cell>
          <cell r="AB52">
            <v>9485.36</v>
          </cell>
          <cell r="AC52">
            <v>2808.71</v>
          </cell>
          <cell r="AD52">
            <v>1771.01</v>
          </cell>
          <cell r="AE52">
            <v>0</v>
          </cell>
          <cell r="AF52">
            <v>-2814.6150000000007</v>
          </cell>
          <cell r="AG52" t="e">
            <v>#N/A</v>
          </cell>
          <cell r="AH52" t="e">
            <v>#N/A</v>
          </cell>
        </row>
        <row r="53">
          <cell r="A53" t="str">
            <v>PRDI</v>
          </cell>
          <cell r="B53" t="str">
            <v>I</v>
          </cell>
          <cell r="C53" t="str">
            <v>PRD</v>
          </cell>
          <cell r="D53" t="str">
            <v>COMPL SERIE</v>
          </cell>
          <cell r="E53">
            <v>0</v>
          </cell>
          <cell r="F53">
            <v>0</v>
          </cell>
          <cell r="G53">
            <v>0</v>
          </cell>
          <cell r="H53">
            <v>10735.7</v>
          </cell>
          <cell r="I53">
            <v>14136.892000000002</v>
          </cell>
          <cell r="J53">
            <v>12680.66</v>
          </cell>
          <cell r="K53">
            <v>1456.2320000000002</v>
          </cell>
          <cell r="L53">
            <v>-3401.192</v>
          </cell>
          <cell r="M53">
            <v>-14136.892000000002</v>
          </cell>
          <cell r="N53">
            <v>0</v>
          </cell>
          <cell r="O53">
            <v>56869.302200000006</v>
          </cell>
          <cell r="P53">
            <v>60399.01420000002</v>
          </cell>
          <cell r="Q53">
            <v>12680.66</v>
          </cell>
          <cell r="R53">
            <v>9392</v>
          </cell>
          <cell r="S53">
            <v>1456.2320000000002</v>
          </cell>
          <cell r="T53">
            <v>-3529.7120000000141</v>
          </cell>
          <cell r="U53">
            <v>-60399.01420000002</v>
          </cell>
          <cell r="V53">
            <v>15311.429700000004</v>
          </cell>
          <cell r="W53">
            <v>15377.867400000003</v>
          </cell>
          <cell r="X53">
            <v>15572.825100000002</v>
          </cell>
          <cell r="Y53">
            <v>0</v>
          </cell>
          <cell r="Z53">
            <v>0</v>
          </cell>
          <cell r="AA53">
            <v>-60399.01420000002</v>
          </cell>
          <cell r="AB53">
            <v>14136.892000000002</v>
          </cell>
          <cell r="AC53">
            <v>4744.8920000000007</v>
          </cell>
          <cell r="AD53">
            <v>3288.66</v>
          </cell>
          <cell r="AE53">
            <v>0</v>
          </cell>
          <cell r="AF53">
            <v>-3529.712</v>
          </cell>
          <cell r="AG53" t="e">
            <v>#N/A</v>
          </cell>
          <cell r="AH53" t="e">
            <v>#N/A</v>
          </cell>
        </row>
        <row r="54">
          <cell r="A54" t="str">
            <v>109N</v>
          </cell>
          <cell r="B54" t="str">
            <v>N</v>
          </cell>
          <cell r="C54" t="str">
            <v>109</v>
          </cell>
          <cell r="D54" t="str">
            <v>A109</v>
          </cell>
          <cell r="E54">
            <v>40</v>
          </cell>
          <cell r="F54">
            <v>435.81</v>
          </cell>
          <cell r="G54">
            <v>0</v>
          </cell>
          <cell r="H54">
            <v>108.5</v>
          </cell>
          <cell r="I54">
            <v>163.62800000000001</v>
          </cell>
          <cell r="J54">
            <v>175.63</v>
          </cell>
          <cell r="K54">
            <v>-12.001999999999995</v>
          </cell>
          <cell r="L54">
            <v>-55.128000000000014</v>
          </cell>
          <cell r="M54">
            <v>-163.62800000000001</v>
          </cell>
          <cell r="N54">
            <v>9557</v>
          </cell>
          <cell r="O54">
            <v>10241.825174216401</v>
          </cell>
          <cell r="P54">
            <v>10336.323424216402</v>
          </cell>
          <cell r="Q54">
            <v>894.51</v>
          </cell>
          <cell r="R54">
            <v>808.54</v>
          </cell>
          <cell r="S54">
            <v>-12.001999999999981</v>
          </cell>
          <cell r="T54">
            <v>-94.498250000000553</v>
          </cell>
          <cell r="U54">
            <v>-779.32342421640169</v>
          </cell>
          <cell r="V54">
            <v>3808.8722774868002</v>
          </cell>
          <cell r="W54">
            <v>5651.8931467296006</v>
          </cell>
          <cell r="X54">
            <v>0</v>
          </cell>
          <cell r="Y54">
            <v>444</v>
          </cell>
          <cell r="Z54">
            <v>0</v>
          </cell>
          <cell r="AA54">
            <v>-9616.2034242164009</v>
          </cell>
          <cell r="AB54">
            <v>163.62800000000001</v>
          </cell>
          <cell r="AC54">
            <v>73.968000000000018</v>
          </cell>
          <cell r="AD54">
            <v>85.97</v>
          </cell>
          <cell r="AE54">
            <v>40</v>
          </cell>
          <cell r="AF54">
            <v>-94.49824999999997</v>
          </cell>
          <cell r="AG54">
            <v>0</v>
          </cell>
          <cell r="AH54">
            <v>-39.370249999999942</v>
          </cell>
        </row>
        <row r="55">
          <cell r="A55" t="str">
            <v>310N</v>
          </cell>
          <cell r="B55" t="str">
            <v>N</v>
          </cell>
          <cell r="C55" t="str">
            <v>310</v>
          </cell>
          <cell r="D55" t="str">
            <v>A310</v>
          </cell>
          <cell r="E55">
            <v>1173</v>
          </cell>
          <cell r="F55">
            <v>0</v>
          </cell>
          <cell r="G55">
            <v>0</v>
          </cell>
          <cell r="H55">
            <v>3256.63</v>
          </cell>
          <cell r="I55">
            <v>2536.0808000000002</v>
          </cell>
          <cell r="J55">
            <v>2318.3200000000002</v>
          </cell>
          <cell r="K55">
            <v>8.1660000000001105</v>
          </cell>
          <cell r="L55">
            <v>720.54919999999981</v>
          </cell>
          <cell r="M55">
            <v>-2536.0808000000002</v>
          </cell>
          <cell r="N55">
            <v>5905</v>
          </cell>
          <cell r="O55">
            <v>5978.2624068488003</v>
          </cell>
          <cell r="P55">
            <v>6938.7810000000009</v>
          </cell>
          <cell r="Q55">
            <v>6096.77</v>
          </cell>
          <cell r="R55">
            <v>4785.41</v>
          </cell>
          <cell r="S55">
            <v>8.1660000000001105</v>
          </cell>
          <cell r="T55">
            <v>-960.51859315120055</v>
          </cell>
          <cell r="U55">
            <v>-1033.7810000000009</v>
          </cell>
          <cell r="V55">
            <v>760.93020000000001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-3297.011</v>
          </cell>
          <cell r="AB55">
            <v>2536.0808000000002</v>
          </cell>
          <cell r="AC55">
            <v>1529.1208000000001</v>
          </cell>
          <cell r="AD55">
            <v>1311.36</v>
          </cell>
          <cell r="AE55">
            <v>-751.97000000000025</v>
          </cell>
          <cell r="AF55">
            <v>-393.57259315120007</v>
          </cell>
          <cell r="AG55">
            <v>-753.92000000000007</v>
          </cell>
          <cell r="AH55">
            <v>-451.47659315119972</v>
          </cell>
        </row>
        <row r="56">
          <cell r="A56" t="str">
            <v>320N</v>
          </cell>
          <cell r="B56" t="str">
            <v>N</v>
          </cell>
          <cell r="C56" t="str">
            <v>320</v>
          </cell>
          <cell r="D56" t="str">
            <v>A320</v>
          </cell>
          <cell r="E56">
            <v>2476</v>
          </cell>
          <cell r="F56">
            <v>6293.9</v>
          </cell>
          <cell r="G56">
            <v>0</v>
          </cell>
          <cell r="H56">
            <v>2586.8996000000002</v>
          </cell>
          <cell r="I56">
            <v>4708.4719999999988</v>
          </cell>
          <cell r="J56">
            <v>4617.8599999999997</v>
          </cell>
          <cell r="K56">
            <v>90.611999999999824</v>
          </cell>
          <cell r="L56">
            <v>-2121.5724</v>
          </cell>
          <cell r="M56">
            <v>-4708.4719999999988</v>
          </cell>
          <cell r="N56">
            <v>10248</v>
          </cell>
          <cell r="O56">
            <v>10294.063600000001</v>
          </cell>
          <cell r="P56">
            <v>13552.061999999998</v>
          </cell>
          <cell r="Q56">
            <v>13089.41</v>
          </cell>
          <cell r="R56">
            <v>11527.38</v>
          </cell>
          <cell r="S56">
            <v>90.611999999999824</v>
          </cell>
          <cell r="T56">
            <v>-3257.9983999999968</v>
          </cell>
          <cell r="U56">
            <v>-3304.0619999999981</v>
          </cell>
          <cell r="V56">
            <v>87.87</v>
          </cell>
          <cell r="W56">
            <v>0</v>
          </cell>
          <cell r="X56">
            <v>0</v>
          </cell>
          <cell r="Y56">
            <v>1050</v>
          </cell>
          <cell r="Z56">
            <v>0</v>
          </cell>
          <cell r="AA56">
            <v>-10040.241999999998</v>
          </cell>
          <cell r="AB56">
            <v>3826.081999999999</v>
          </cell>
          <cell r="AC56">
            <v>1652.6419999999996</v>
          </cell>
          <cell r="AD56">
            <v>1562.03</v>
          </cell>
          <cell r="AE56">
            <v>-478.20000000000027</v>
          </cell>
          <cell r="AF56">
            <v>-2842.2353999999996</v>
          </cell>
          <cell r="AG56">
            <v>-457.86520000000019</v>
          </cell>
          <cell r="AH56">
            <v>-1206.442</v>
          </cell>
        </row>
        <row r="57">
          <cell r="A57" t="str">
            <v>340N</v>
          </cell>
          <cell r="B57" t="str">
            <v>N</v>
          </cell>
          <cell r="C57" t="str">
            <v>340</v>
          </cell>
          <cell r="D57" t="str">
            <v>A340</v>
          </cell>
          <cell r="E57">
            <v>962</v>
          </cell>
          <cell r="F57">
            <v>1257.3800000000001</v>
          </cell>
          <cell r="G57">
            <v>0</v>
          </cell>
          <cell r="H57">
            <v>1665.0028572599999</v>
          </cell>
          <cell r="I57">
            <v>1626.1678572600001</v>
          </cell>
          <cell r="J57">
            <v>1395.28</v>
          </cell>
          <cell r="K57">
            <v>291.04385726000004</v>
          </cell>
          <cell r="L57">
            <v>38.835000000000001</v>
          </cell>
          <cell r="M57">
            <v>-1626.1678572600001</v>
          </cell>
          <cell r="N57">
            <v>9576</v>
          </cell>
          <cell r="O57">
            <v>6732.7148572599999</v>
          </cell>
          <cell r="P57">
            <v>7213.7372572599998</v>
          </cell>
          <cell r="Q57">
            <v>6947.03</v>
          </cell>
          <cell r="R57">
            <v>6261.42</v>
          </cell>
          <cell r="S57">
            <v>291.04385726000004</v>
          </cell>
          <cell r="T57">
            <v>-481.02239999999983</v>
          </cell>
          <cell r="U57">
            <v>2362.2627427400002</v>
          </cell>
          <cell r="V57">
            <v>194.37140000000002</v>
          </cell>
          <cell r="W57">
            <v>0</v>
          </cell>
          <cell r="X57">
            <v>0</v>
          </cell>
          <cell r="Y57">
            <v>1040</v>
          </cell>
          <cell r="Z57">
            <v>0</v>
          </cell>
          <cell r="AA57">
            <v>-2037.91925726</v>
          </cell>
          <cell r="AB57">
            <v>1626.1678572600001</v>
          </cell>
          <cell r="AC57">
            <v>916.49785726000005</v>
          </cell>
          <cell r="AD57">
            <v>685.61</v>
          </cell>
          <cell r="AE57">
            <v>77.255999999999887</v>
          </cell>
          <cell r="AF57">
            <v>-602.72740000000044</v>
          </cell>
          <cell r="AG57">
            <v>110.23000000000047</v>
          </cell>
          <cell r="AH57">
            <v>-542.89200000000164</v>
          </cell>
        </row>
        <row r="58">
          <cell r="A58" t="str">
            <v>346N</v>
          </cell>
          <cell r="B58" t="str">
            <v>N</v>
          </cell>
          <cell r="C58" t="str">
            <v>346</v>
          </cell>
          <cell r="D58" t="str">
            <v>A340-600</v>
          </cell>
          <cell r="E58">
            <v>0</v>
          </cell>
          <cell r="F58">
            <v>0</v>
          </cell>
          <cell r="G58">
            <v>0</v>
          </cell>
          <cell r="H58">
            <v>1500.6</v>
          </cell>
          <cell r="I58">
            <v>1500.6</v>
          </cell>
          <cell r="J58">
            <v>740.5</v>
          </cell>
          <cell r="K58">
            <v>760.1</v>
          </cell>
          <cell r="L58">
            <v>0</v>
          </cell>
          <cell r="M58">
            <v>-1500.6</v>
          </cell>
          <cell r="N58">
            <v>2000</v>
          </cell>
          <cell r="O58">
            <v>8100.2379744</v>
          </cell>
          <cell r="P58">
            <v>8100.2379744</v>
          </cell>
          <cell r="Q58">
            <v>740.5</v>
          </cell>
          <cell r="R58">
            <v>0</v>
          </cell>
          <cell r="S58">
            <v>760.1</v>
          </cell>
          <cell r="T58">
            <v>0</v>
          </cell>
          <cell r="U58">
            <v>-6100.2379744</v>
          </cell>
          <cell r="V58">
            <v>6599.6379744000014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-8100.2379744</v>
          </cell>
          <cell r="AB58">
            <v>1500.6</v>
          </cell>
          <cell r="AC58">
            <v>1500.6</v>
          </cell>
          <cell r="AD58">
            <v>740.5</v>
          </cell>
          <cell r="AE58">
            <v>0</v>
          </cell>
          <cell r="AF58">
            <v>0</v>
          </cell>
          <cell r="AG58" t="e">
            <v>#N/A</v>
          </cell>
          <cell r="AH58" t="e">
            <v>#N/A</v>
          </cell>
        </row>
        <row r="59">
          <cell r="A59" t="str">
            <v>AAEN</v>
          </cell>
          <cell r="B59" t="str">
            <v>N</v>
          </cell>
          <cell r="C59" t="str">
            <v>AAE</v>
          </cell>
          <cell r="D59" t="str">
            <v>RAO AAE</v>
          </cell>
          <cell r="E59">
            <v>0</v>
          </cell>
          <cell r="F59">
            <v>0</v>
          </cell>
          <cell r="G59">
            <v>0</v>
          </cell>
          <cell r="H59">
            <v>254.95800000000003</v>
          </cell>
          <cell r="I59">
            <v>200.398</v>
          </cell>
          <cell r="J59">
            <v>194.47</v>
          </cell>
          <cell r="K59">
            <v>5.9280000000000115</v>
          </cell>
          <cell r="L59">
            <v>54.56</v>
          </cell>
          <cell r="M59">
            <v>-200.398</v>
          </cell>
          <cell r="N59">
            <v>200</v>
          </cell>
          <cell r="O59">
            <v>264.95800000000003</v>
          </cell>
          <cell r="P59">
            <v>200.398</v>
          </cell>
          <cell r="Q59">
            <v>194.47</v>
          </cell>
          <cell r="R59">
            <v>160.44</v>
          </cell>
          <cell r="S59">
            <v>5.9280000000000115</v>
          </cell>
          <cell r="T59">
            <v>64.560000000000031</v>
          </cell>
          <cell r="U59">
            <v>-0.39799999999999613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-200.398</v>
          </cell>
          <cell r="AB59">
            <v>200.398</v>
          </cell>
          <cell r="AC59">
            <v>39.957999999999998</v>
          </cell>
          <cell r="AD59">
            <v>34.03</v>
          </cell>
          <cell r="AE59">
            <v>0</v>
          </cell>
          <cell r="AF59">
            <v>64.56</v>
          </cell>
          <cell r="AG59">
            <v>0</v>
          </cell>
          <cell r="AH59">
            <v>0</v>
          </cell>
        </row>
        <row r="60">
          <cell r="A60" t="str">
            <v>ACQN</v>
          </cell>
          <cell r="B60" t="str">
            <v>N</v>
          </cell>
          <cell r="C60" t="str">
            <v>ACQ</v>
          </cell>
          <cell r="D60" t="str">
            <v>ACQUISITIONS</v>
          </cell>
          <cell r="E60">
            <v>268</v>
          </cell>
          <cell r="F60">
            <v>36094.870000000003</v>
          </cell>
          <cell r="G60">
            <v>0</v>
          </cell>
          <cell r="H60">
            <v>1065.96</v>
          </cell>
          <cell r="I60">
            <v>1008.6</v>
          </cell>
          <cell r="J60">
            <v>980.13</v>
          </cell>
          <cell r="K60">
            <v>28.470000000000155</v>
          </cell>
          <cell r="L60">
            <v>57.36</v>
          </cell>
          <cell r="M60">
            <v>-1008.6</v>
          </cell>
          <cell r="N60">
            <v>48851</v>
          </cell>
          <cell r="O60">
            <v>48837.053200000017</v>
          </cell>
          <cell r="P60">
            <v>47408.05</v>
          </cell>
          <cell r="Q60">
            <v>37075</v>
          </cell>
          <cell r="R60">
            <v>36473.83</v>
          </cell>
          <cell r="S60">
            <v>28.470000000000184</v>
          </cell>
          <cell r="T60">
            <v>1429.0032000000137</v>
          </cell>
          <cell r="U60">
            <v>1442.9499999999971</v>
          </cell>
          <cell r="V60">
            <v>147.76</v>
          </cell>
          <cell r="W60">
            <v>341.82</v>
          </cell>
          <cell r="X60">
            <v>0</v>
          </cell>
          <cell r="Y60">
            <v>9479</v>
          </cell>
          <cell r="Z60">
            <v>879</v>
          </cell>
          <cell r="AA60">
            <v>-37929.050000000003</v>
          </cell>
          <cell r="AB60">
            <v>1008.6</v>
          </cell>
          <cell r="AC60">
            <v>629.64</v>
          </cell>
          <cell r="AD60">
            <v>601.16999999999996</v>
          </cell>
          <cell r="AE60">
            <v>17.010000000000002</v>
          </cell>
          <cell r="AF60">
            <v>1412.0031999999987</v>
          </cell>
          <cell r="AG60">
            <v>17.010000000002037</v>
          </cell>
          <cell r="AH60">
            <v>640.53910000000906</v>
          </cell>
        </row>
        <row r="61">
          <cell r="A61" t="str">
            <v>AHNN</v>
          </cell>
          <cell r="B61" t="str">
            <v>N</v>
          </cell>
          <cell r="C61" t="str">
            <v>AHN</v>
          </cell>
          <cell r="D61" t="str">
            <v>AHNG</v>
          </cell>
          <cell r="E61">
            <v>0</v>
          </cell>
          <cell r="F61">
            <v>477.54</v>
          </cell>
          <cell r="G61">
            <v>0</v>
          </cell>
          <cell r="H61">
            <v>99.9</v>
          </cell>
          <cell r="I61">
            <v>230.63</v>
          </cell>
          <cell r="J61">
            <v>243.29</v>
          </cell>
          <cell r="K61">
            <v>-12.66</v>
          </cell>
          <cell r="L61">
            <v>-130.72999999999999</v>
          </cell>
          <cell r="M61">
            <v>-230.63</v>
          </cell>
          <cell r="N61">
            <v>5086</v>
          </cell>
          <cell r="O61">
            <v>4877.8819999999996</v>
          </cell>
          <cell r="P61">
            <v>4974.16</v>
          </cell>
          <cell r="Q61">
            <v>4986.82</v>
          </cell>
          <cell r="R61">
            <v>4900.3599999999997</v>
          </cell>
          <cell r="S61">
            <v>-12.66</v>
          </cell>
          <cell r="T61">
            <v>-96.278000000000247</v>
          </cell>
          <cell r="U61">
            <v>111.84000000000015</v>
          </cell>
          <cell r="V61">
            <v>0</v>
          </cell>
          <cell r="W61">
            <v>0</v>
          </cell>
          <cell r="X61">
            <v>0</v>
          </cell>
          <cell r="Y61">
            <v>388</v>
          </cell>
          <cell r="Z61">
            <v>0</v>
          </cell>
          <cell r="AA61">
            <v>-320.17</v>
          </cell>
          <cell r="AB61">
            <v>230.63</v>
          </cell>
          <cell r="AC61">
            <v>73.8</v>
          </cell>
          <cell r="AD61">
            <v>86.46</v>
          </cell>
          <cell r="AE61">
            <v>0</v>
          </cell>
          <cell r="AF61">
            <v>-96.277999999999821</v>
          </cell>
          <cell r="AG61">
            <v>0</v>
          </cell>
          <cell r="AH61">
            <v>-49.430999999999585</v>
          </cell>
        </row>
        <row r="62">
          <cell r="A62" t="str">
            <v>ALZN</v>
          </cell>
          <cell r="B62" t="str">
            <v>N</v>
          </cell>
          <cell r="C62" t="str">
            <v>ALZ</v>
          </cell>
          <cell r="D62" t="str">
            <v>ALIZE</v>
          </cell>
          <cell r="E62">
            <v>0</v>
          </cell>
          <cell r="F62">
            <v>40.58</v>
          </cell>
          <cell r="G62">
            <v>0</v>
          </cell>
          <cell r="H62">
            <v>0</v>
          </cell>
          <cell r="I62">
            <v>6.15</v>
          </cell>
          <cell r="J62">
            <v>2.4300000000000002</v>
          </cell>
          <cell r="K62">
            <v>3.72</v>
          </cell>
          <cell r="L62">
            <v>-6.15</v>
          </cell>
          <cell r="M62">
            <v>-6.15</v>
          </cell>
          <cell r="N62">
            <v>140</v>
          </cell>
          <cell r="O62">
            <v>142.08000000000001</v>
          </cell>
          <cell r="P62">
            <v>146.57</v>
          </cell>
          <cell r="Q62">
            <v>43.01</v>
          </cell>
          <cell r="R62">
            <v>42.63</v>
          </cell>
          <cell r="S62">
            <v>3.72</v>
          </cell>
          <cell r="T62">
            <v>-4.4899999999999807</v>
          </cell>
          <cell r="U62">
            <v>-6.5699999999999932</v>
          </cell>
          <cell r="V62">
            <v>99.84</v>
          </cell>
          <cell r="W62">
            <v>0</v>
          </cell>
          <cell r="X62">
            <v>0</v>
          </cell>
          <cell r="Y62">
            <v>140</v>
          </cell>
          <cell r="Z62">
            <v>0</v>
          </cell>
          <cell r="AA62">
            <v>-6.5699999999999932</v>
          </cell>
          <cell r="AB62">
            <v>6.15</v>
          </cell>
          <cell r="AC62">
            <v>4.0999999999999996</v>
          </cell>
          <cell r="AD62">
            <v>0.37999999999999545</v>
          </cell>
          <cell r="AE62">
            <v>0</v>
          </cell>
          <cell r="AF62">
            <v>-4.4899999999999807</v>
          </cell>
          <cell r="AG62">
            <v>0</v>
          </cell>
          <cell r="AH62">
            <v>3.1000000000000227</v>
          </cell>
        </row>
        <row r="63">
          <cell r="A63" t="str">
            <v>ANGN</v>
          </cell>
          <cell r="B63" t="str">
            <v>N</v>
          </cell>
          <cell r="C63" t="str">
            <v>ANG</v>
          </cell>
          <cell r="D63" t="str">
            <v>AIRBUS-NVL-GEN</v>
          </cell>
          <cell r="E63">
            <v>324</v>
          </cell>
          <cell r="F63">
            <v>3760.7</v>
          </cell>
          <cell r="G63">
            <v>0</v>
          </cell>
          <cell r="H63">
            <v>11343.46</v>
          </cell>
          <cell r="I63">
            <v>9993.11</v>
          </cell>
          <cell r="J63">
            <v>9098.9599999999991</v>
          </cell>
          <cell r="K63">
            <v>894.15</v>
          </cell>
          <cell r="L63">
            <v>1350.35</v>
          </cell>
          <cell r="M63">
            <v>-9993.11</v>
          </cell>
          <cell r="N63">
            <v>26004</v>
          </cell>
          <cell r="O63">
            <v>26040.577999999998</v>
          </cell>
          <cell r="P63">
            <v>24120.112999999994</v>
          </cell>
          <cell r="Q63">
            <v>12859.66</v>
          </cell>
          <cell r="R63">
            <v>10569.16</v>
          </cell>
          <cell r="S63">
            <v>894.15</v>
          </cell>
          <cell r="T63">
            <v>1920.4650000000038</v>
          </cell>
          <cell r="U63">
            <v>1883.8870000000061</v>
          </cell>
          <cell r="V63">
            <v>9296.5210000000006</v>
          </cell>
          <cell r="W63">
            <v>1005.5819999999999</v>
          </cell>
          <cell r="X63">
            <v>64.2</v>
          </cell>
          <cell r="Y63">
            <v>0</v>
          </cell>
          <cell r="Z63">
            <v>0</v>
          </cell>
          <cell r="AA63">
            <v>-24120.112999999994</v>
          </cell>
          <cell r="AB63">
            <v>9993.11</v>
          </cell>
          <cell r="AC63">
            <v>3184.65</v>
          </cell>
          <cell r="AD63">
            <v>2290.5</v>
          </cell>
          <cell r="AE63">
            <v>-151.43</v>
          </cell>
          <cell r="AF63">
            <v>2017.895</v>
          </cell>
          <cell r="AG63">
            <v>0</v>
          </cell>
          <cell r="AH63">
            <v>0</v>
          </cell>
        </row>
        <row r="64">
          <cell r="A64" t="str">
            <v>APNN</v>
          </cell>
          <cell r="B64" t="str">
            <v>N</v>
          </cell>
          <cell r="C64" t="str">
            <v>APN</v>
          </cell>
          <cell r="D64" t="str">
            <v>RAO APN</v>
          </cell>
          <cell r="E64">
            <v>0</v>
          </cell>
          <cell r="F64">
            <v>0</v>
          </cell>
          <cell r="G64">
            <v>0</v>
          </cell>
          <cell r="H64">
            <v>2684.1992600000003</v>
          </cell>
          <cell r="I64">
            <v>2366.4119980000005</v>
          </cell>
          <cell r="J64">
            <v>1521.58</v>
          </cell>
          <cell r="K64">
            <v>844.831998</v>
          </cell>
          <cell r="L64">
            <v>317.78726199999988</v>
          </cell>
          <cell r="M64">
            <v>-2366.4119980000005</v>
          </cell>
          <cell r="N64">
            <v>1590</v>
          </cell>
          <cell r="O64">
            <v>2902.5296600000001</v>
          </cell>
          <cell r="P64">
            <v>2637.9719980000004</v>
          </cell>
          <cell r="Q64">
            <v>1793.1399999999999</v>
          </cell>
          <cell r="R64">
            <v>1190.45</v>
          </cell>
          <cell r="S64">
            <v>844.831998</v>
          </cell>
          <cell r="T64">
            <v>264.55766199999971</v>
          </cell>
          <cell r="U64">
            <v>-1047.9719980000004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-2366.4119980000005</v>
          </cell>
          <cell r="AB64">
            <v>2366.411998</v>
          </cell>
          <cell r="AC64">
            <v>1447.5219979999999</v>
          </cell>
          <cell r="AD64">
            <v>602.69000000000005</v>
          </cell>
          <cell r="AE64">
            <v>0</v>
          </cell>
          <cell r="AF64">
            <v>264.55766199999994</v>
          </cell>
          <cell r="AG64">
            <v>0</v>
          </cell>
          <cell r="AH64">
            <v>-53.229599999999976</v>
          </cell>
        </row>
        <row r="65">
          <cell r="A65" t="str">
            <v>ARAN</v>
          </cell>
          <cell r="B65" t="str">
            <v>N</v>
          </cell>
          <cell r="C65" t="str">
            <v>ARA</v>
          </cell>
          <cell r="D65" t="str">
            <v>RAO ARA</v>
          </cell>
          <cell r="E65">
            <v>0</v>
          </cell>
          <cell r="F65">
            <v>436.19</v>
          </cell>
          <cell r="G65">
            <v>0</v>
          </cell>
          <cell r="H65">
            <v>649.46800000000007</v>
          </cell>
          <cell r="I65">
            <v>605.9208000000001</v>
          </cell>
          <cell r="J65">
            <v>301.27999999999997</v>
          </cell>
          <cell r="K65">
            <v>304.64080000000001</v>
          </cell>
          <cell r="L65">
            <v>43.547200000000004</v>
          </cell>
          <cell r="M65">
            <v>-605.9208000000001</v>
          </cell>
          <cell r="N65">
            <v>815</v>
          </cell>
          <cell r="O65">
            <v>1174.4680000000001</v>
          </cell>
          <cell r="P65">
            <v>1042.1107999999999</v>
          </cell>
          <cell r="Q65">
            <v>737.47</v>
          </cell>
          <cell r="R65">
            <v>505.69</v>
          </cell>
          <cell r="S65">
            <v>304.64080000000001</v>
          </cell>
          <cell r="T65">
            <v>132.35720000000015</v>
          </cell>
          <cell r="U65">
            <v>-227.11079999999993</v>
          </cell>
          <cell r="V65">
            <v>0</v>
          </cell>
          <cell r="W65">
            <v>0</v>
          </cell>
          <cell r="X65">
            <v>0</v>
          </cell>
          <cell r="Y65">
            <v>325</v>
          </cell>
          <cell r="Z65">
            <v>300</v>
          </cell>
          <cell r="AA65">
            <v>-717.11079999999993</v>
          </cell>
          <cell r="AB65">
            <v>605.92079999999999</v>
          </cell>
          <cell r="AC65">
            <v>536.4208000000001</v>
          </cell>
          <cell r="AD65">
            <v>231.78</v>
          </cell>
          <cell r="AE65">
            <v>0</v>
          </cell>
          <cell r="AF65">
            <v>132.35720000000003</v>
          </cell>
          <cell r="AG65">
            <v>0</v>
          </cell>
          <cell r="AH65">
            <v>0</v>
          </cell>
        </row>
        <row r="66">
          <cell r="A66" t="str">
            <v>ASCN</v>
          </cell>
          <cell r="B66" t="str">
            <v>N</v>
          </cell>
          <cell r="C66" t="str">
            <v>ASC</v>
          </cell>
          <cell r="D66" t="str">
            <v>ASIC</v>
          </cell>
          <cell r="E66">
            <v>0</v>
          </cell>
          <cell r="F66">
            <v>0</v>
          </cell>
          <cell r="G66">
            <v>0</v>
          </cell>
          <cell r="H66">
            <v>34.090000000000003</v>
          </cell>
          <cell r="I66">
            <v>49.45</v>
          </cell>
          <cell r="J66">
            <v>61.76</v>
          </cell>
          <cell r="K66">
            <v>-12.31</v>
          </cell>
          <cell r="L66">
            <v>-15.36</v>
          </cell>
          <cell r="M66">
            <v>-49.45</v>
          </cell>
          <cell r="N66">
            <v>620</v>
          </cell>
          <cell r="O66">
            <v>1156.9499999999998</v>
          </cell>
          <cell r="P66">
            <v>1465.2</v>
          </cell>
          <cell r="Q66">
            <v>1477.51</v>
          </cell>
          <cell r="R66">
            <v>1431.11</v>
          </cell>
          <cell r="S66">
            <v>-12.31</v>
          </cell>
          <cell r="T66">
            <v>-308.25000000000023</v>
          </cell>
          <cell r="U66">
            <v>-845.2</v>
          </cell>
          <cell r="V66">
            <v>0</v>
          </cell>
          <cell r="W66">
            <v>0</v>
          </cell>
          <cell r="X66">
            <v>0</v>
          </cell>
          <cell r="Y66">
            <v>16</v>
          </cell>
          <cell r="Z66">
            <v>0</v>
          </cell>
          <cell r="AA66">
            <v>-33.450000000000003</v>
          </cell>
          <cell r="AB66">
            <v>49.45</v>
          </cell>
          <cell r="AC66">
            <v>34.090000000000003</v>
          </cell>
          <cell r="AD66">
            <v>46.4</v>
          </cell>
          <cell r="AE66">
            <v>0</v>
          </cell>
          <cell r="AF66">
            <v>-308.25000000000011</v>
          </cell>
          <cell r="AG66">
            <v>0</v>
          </cell>
          <cell r="AH66">
            <v>-292.8900000000001</v>
          </cell>
        </row>
        <row r="67">
          <cell r="A67" t="str">
            <v>ATSN</v>
          </cell>
          <cell r="B67" t="str">
            <v>N</v>
          </cell>
          <cell r="C67" t="str">
            <v>ATS</v>
          </cell>
          <cell r="D67" t="str">
            <v>RAO ATS</v>
          </cell>
          <cell r="E67">
            <v>0</v>
          </cell>
          <cell r="F67">
            <v>0</v>
          </cell>
          <cell r="G67">
            <v>0</v>
          </cell>
          <cell r="H67">
            <v>309.25850960000002</v>
          </cell>
          <cell r="I67">
            <v>72.76313952000001</v>
          </cell>
          <cell r="J67">
            <v>0</v>
          </cell>
          <cell r="K67">
            <v>72.76313952000001</v>
          </cell>
          <cell r="L67">
            <v>236.49537008000001</v>
          </cell>
          <cell r="M67">
            <v>-72.76313952000001</v>
          </cell>
          <cell r="N67">
            <v>550</v>
          </cell>
          <cell r="O67">
            <v>356.25850960000002</v>
          </cell>
          <cell r="P67">
            <v>214.65313952</v>
          </cell>
          <cell r="Q67">
            <v>51.58</v>
          </cell>
          <cell r="R67">
            <v>51.58</v>
          </cell>
          <cell r="S67">
            <v>72.76313952000001</v>
          </cell>
          <cell r="T67">
            <v>141.60537008000003</v>
          </cell>
          <cell r="U67">
            <v>335.34686048000003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-72.76313952000001</v>
          </cell>
          <cell r="AB67">
            <v>72.76313952000001</v>
          </cell>
          <cell r="AC67">
            <v>72.76313952000001</v>
          </cell>
          <cell r="AD67">
            <v>0</v>
          </cell>
          <cell r="AE67">
            <v>0</v>
          </cell>
          <cell r="AF67">
            <v>141.60537008000003</v>
          </cell>
          <cell r="AG67">
            <v>0</v>
          </cell>
          <cell r="AH67">
            <v>-94.889999999999986</v>
          </cell>
        </row>
        <row r="68">
          <cell r="A68" t="str">
            <v>BELN</v>
          </cell>
          <cell r="B68" t="str">
            <v>N</v>
          </cell>
          <cell r="C68" t="str">
            <v>BEL</v>
          </cell>
          <cell r="D68" t="str">
            <v>BELL427</v>
          </cell>
          <cell r="E68">
            <v>510</v>
          </cell>
          <cell r="F68">
            <v>2894.01</v>
          </cell>
          <cell r="G68">
            <v>0</v>
          </cell>
          <cell r="H68">
            <v>1060.4164997960004</v>
          </cell>
          <cell r="I68">
            <v>792.51100000000008</v>
          </cell>
          <cell r="J68">
            <v>792.47</v>
          </cell>
          <cell r="K68">
            <v>4.0999999999970629E-2</v>
          </cell>
          <cell r="L68">
            <v>267.9054997960007</v>
          </cell>
          <cell r="M68">
            <v>-792.51100000000008</v>
          </cell>
          <cell r="N68">
            <v>7956</v>
          </cell>
          <cell r="O68">
            <v>3684.7721000959991</v>
          </cell>
          <cell r="P68">
            <v>3686.5210000000002</v>
          </cell>
          <cell r="Q68">
            <v>3686.48</v>
          </cell>
          <cell r="R68">
            <v>3686.48</v>
          </cell>
          <cell r="S68">
            <v>4.0999999999991946E-2</v>
          </cell>
          <cell r="T68">
            <v>-1.748899904001064</v>
          </cell>
          <cell r="U68">
            <v>4269.4789999999994</v>
          </cell>
          <cell r="V68">
            <v>0</v>
          </cell>
          <cell r="W68">
            <v>0</v>
          </cell>
          <cell r="X68">
            <v>0</v>
          </cell>
          <cell r="Y68">
            <v>400</v>
          </cell>
          <cell r="Z68">
            <v>0</v>
          </cell>
          <cell r="AA68">
            <v>-3286.5210000000002</v>
          </cell>
          <cell r="AB68">
            <v>789.93099999999993</v>
          </cell>
          <cell r="AC68">
            <v>4.0999999999991946E-2</v>
          </cell>
          <cell r="AD68">
            <v>0</v>
          </cell>
          <cell r="AE68">
            <v>345.79</v>
          </cell>
          <cell r="AF68">
            <v>9.6100096000554913E-2</v>
          </cell>
          <cell r="AG68">
            <v>1132.0949999999993</v>
          </cell>
          <cell r="AH68">
            <v>-86.137000000000626</v>
          </cell>
        </row>
        <row r="69">
          <cell r="A69" t="str">
            <v>C13N</v>
          </cell>
          <cell r="B69" t="str">
            <v>N</v>
          </cell>
          <cell r="C69" t="str">
            <v>C13</v>
          </cell>
          <cell r="D69" t="str">
            <v>C130</v>
          </cell>
          <cell r="E69">
            <v>496</v>
          </cell>
          <cell r="F69">
            <v>3566.5</v>
          </cell>
          <cell r="G69">
            <v>0</v>
          </cell>
          <cell r="H69">
            <v>739.48500000000001</v>
          </cell>
          <cell r="I69">
            <v>4097.5160000000005</v>
          </cell>
          <cell r="J69">
            <v>4327.53</v>
          </cell>
          <cell r="K69">
            <v>-226.64400000000012</v>
          </cell>
          <cell r="L69">
            <v>-3358.0310000000009</v>
          </cell>
          <cell r="M69">
            <v>-4097.5160000000005</v>
          </cell>
          <cell r="N69">
            <v>7025</v>
          </cell>
          <cell r="O69">
            <v>7138.5149249131309</v>
          </cell>
          <cell r="P69">
            <v>8539.8359999999993</v>
          </cell>
          <cell r="Q69">
            <v>8712.26</v>
          </cell>
          <cell r="R69">
            <v>7867.98</v>
          </cell>
          <cell r="S69">
            <v>-226.64400000000018</v>
          </cell>
          <cell r="T69">
            <v>-1401.3210750868684</v>
          </cell>
          <cell r="U69">
            <v>-1514.8359999999993</v>
          </cell>
          <cell r="V69">
            <v>35.82</v>
          </cell>
          <cell r="W69">
            <v>0</v>
          </cell>
          <cell r="X69">
            <v>0</v>
          </cell>
          <cell r="Y69">
            <v>5116</v>
          </cell>
          <cell r="Z69">
            <v>0</v>
          </cell>
          <cell r="AA69">
            <v>-2583.8359999999993</v>
          </cell>
          <cell r="AB69">
            <v>4097.5159999999996</v>
          </cell>
          <cell r="AC69">
            <v>614.26599999999996</v>
          </cell>
          <cell r="AD69">
            <v>844.28</v>
          </cell>
          <cell r="AE69">
            <v>31.36</v>
          </cell>
          <cell r="AF69">
            <v>-1375.8858750868703</v>
          </cell>
          <cell r="AG69">
            <v>31.409999999999854</v>
          </cell>
          <cell r="AH69">
            <v>-670.38487508686922</v>
          </cell>
        </row>
        <row r="70">
          <cell r="A70" t="str">
            <v>C29N</v>
          </cell>
          <cell r="B70" t="str">
            <v>N</v>
          </cell>
          <cell r="C70" t="str">
            <v>C29</v>
          </cell>
          <cell r="D70" t="str">
            <v>CASA 295</v>
          </cell>
          <cell r="E70">
            <v>0</v>
          </cell>
          <cell r="F70">
            <v>0</v>
          </cell>
          <cell r="G70">
            <v>0</v>
          </cell>
          <cell r="H70">
            <v>6391.01</v>
          </cell>
          <cell r="I70">
            <v>5802.0409999999993</v>
          </cell>
          <cell r="J70">
            <v>4772.34</v>
          </cell>
          <cell r="K70">
            <v>1029.7009999999998</v>
          </cell>
          <cell r="L70">
            <v>588.96900000000005</v>
          </cell>
          <cell r="M70">
            <v>-5802.0409999999993</v>
          </cell>
          <cell r="N70">
            <v>7890</v>
          </cell>
          <cell r="O70">
            <v>9103.8460000000014</v>
          </cell>
          <cell r="P70">
            <v>8833.6470000000008</v>
          </cell>
          <cell r="Q70">
            <v>4772.34</v>
          </cell>
          <cell r="R70">
            <v>2848.11</v>
          </cell>
          <cell r="S70">
            <v>1029.7009999999998</v>
          </cell>
          <cell r="T70">
            <v>270.19900000000052</v>
          </cell>
          <cell r="U70">
            <v>-943.64700000000084</v>
          </cell>
          <cell r="V70">
            <v>3021.6060000000002</v>
          </cell>
          <cell r="W70">
            <v>10</v>
          </cell>
          <cell r="X70">
            <v>0</v>
          </cell>
          <cell r="Y70">
            <v>0</v>
          </cell>
          <cell r="Z70">
            <v>0</v>
          </cell>
          <cell r="AA70">
            <v>-8833.6470000000008</v>
          </cell>
          <cell r="AB70">
            <v>5802.0409999999993</v>
          </cell>
          <cell r="AC70">
            <v>2953.931</v>
          </cell>
          <cell r="AD70">
            <v>1924.23</v>
          </cell>
          <cell r="AE70">
            <v>0</v>
          </cell>
          <cell r="AF70">
            <v>270.19899999999961</v>
          </cell>
          <cell r="AG70">
            <v>0</v>
          </cell>
          <cell r="AH70">
            <v>0</v>
          </cell>
        </row>
        <row r="71">
          <cell r="A71" t="str">
            <v>CASN</v>
          </cell>
          <cell r="B71" t="str">
            <v>N</v>
          </cell>
          <cell r="C71" t="str">
            <v>CAS</v>
          </cell>
          <cell r="D71" t="str">
            <v>CASOM</v>
          </cell>
          <cell r="E71">
            <v>0</v>
          </cell>
          <cell r="F71">
            <v>6424.04</v>
          </cell>
          <cell r="G71">
            <v>0</v>
          </cell>
          <cell r="H71">
            <v>192.25</v>
          </cell>
          <cell r="I71">
            <v>1612.09</v>
          </cell>
          <cell r="J71">
            <v>1519.94</v>
          </cell>
          <cell r="K71">
            <v>92.150000000000091</v>
          </cell>
          <cell r="L71">
            <v>-1419.84</v>
          </cell>
          <cell r="M71">
            <v>-1612.09</v>
          </cell>
          <cell r="N71">
            <v>7004</v>
          </cell>
          <cell r="O71">
            <v>6999.78</v>
          </cell>
          <cell r="P71">
            <v>8036.13</v>
          </cell>
          <cell r="Q71">
            <v>7943.98</v>
          </cell>
          <cell r="R71">
            <v>7872.13</v>
          </cell>
          <cell r="S71">
            <v>92.150000000000091</v>
          </cell>
          <cell r="T71">
            <v>-1036.3500000000004</v>
          </cell>
          <cell r="U71">
            <v>-1032.1300000000001</v>
          </cell>
          <cell r="V71">
            <v>0</v>
          </cell>
          <cell r="W71">
            <v>0</v>
          </cell>
          <cell r="X71">
            <v>0</v>
          </cell>
          <cell r="Y71">
            <v>6900</v>
          </cell>
          <cell r="Z71">
            <v>0</v>
          </cell>
          <cell r="AA71">
            <v>-1136.1300000000001</v>
          </cell>
          <cell r="AB71">
            <v>1612.09</v>
          </cell>
          <cell r="AC71">
            <v>164</v>
          </cell>
          <cell r="AD71">
            <v>71.849999999999909</v>
          </cell>
          <cell r="AE71">
            <v>0</v>
          </cell>
          <cell r="AF71">
            <v>-1036.3499999999999</v>
          </cell>
          <cell r="AG71">
            <v>0</v>
          </cell>
          <cell r="AH71">
            <v>-489.11499999999887</v>
          </cell>
        </row>
        <row r="72">
          <cell r="A72" t="str">
            <v>CDVN</v>
          </cell>
          <cell r="B72" t="str">
            <v>N</v>
          </cell>
          <cell r="C72" t="str">
            <v>CDV</v>
          </cell>
          <cell r="D72" t="str">
            <v>DIVERS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e">
            <v>#N/A</v>
          </cell>
          <cell r="AH72" t="e">
            <v>#N/A</v>
          </cell>
        </row>
        <row r="73">
          <cell r="A73" t="str">
            <v>DAPN</v>
          </cell>
          <cell r="B73" t="str">
            <v>N</v>
          </cell>
          <cell r="C73" t="str">
            <v>DAP</v>
          </cell>
          <cell r="D73" t="str">
            <v>DIVERS APN</v>
          </cell>
          <cell r="E73">
            <v>0</v>
          </cell>
          <cell r="F73">
            <v>105</v>
          </cell>
          <cell r="G73">
            <v>0</v>
          </cell>
          <cell r="H73">
            <v>923.5</v>
          </cell>
          <cell r="I73">
            <v>961.26</v>
          </cell>
          <cell r="J73">
            <v>1015.37</v>
          </cell>
          <cell r="K73">
            <v>-54.11</v>
          </cell>
          <cell r="L73">
            <v>-37.76</v>
          </cell>
          <cell r="M73">
            <v>-961.26</v>
          </cell>
          <cell r="N73">
            <v>8440</v>
          </cell>
          <cell r="O73">
            <v>1247.94</v>
          </cell>
          <cell r="P73">
            <v>1191.06</v>
          </cell>
          <cell r="Q73">
            <v>1120.3699999999999</v>
          </cell>
          <cell r="R73">
            <v>278.76</v>
          </cell>
          <cell r="S73">
            <v>-54.11</v>
          </cell>
          <cell r="T73">
            <v>56.880000000000109</v>
          </cell>
          <cell r="U73">
            <v>7248.9400000000005</v>
          </cell>
          <cell r="V73">
            <v>124.8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-1191.06</v>
          </cell>
          <cell r="AB73">
            <v>961.26</v>
          </cell>
          <cell r="AC73">
            <v>787.5</v>
          </cell>
          <cell r="AD73">
            <v>841.61</v>
          </cell>
          <cell r="AE73">
            <v>0</v>
          </cell>
          <cell r="AF73">
            <v>56.88</v>
          </cell>
          <cell r="AG73">
            <v>0</v>
          </cell>
          <cell r="AH73">
            <v>-0.28000000000000114</v>
          </cell>
        </row>
        <row r="74">
          <cell r="A74" t="str">
            <v>DARN</v>
          </cell>
          <cell r="B74" t="str">
            <v>N</v>
          </cell>
          <cell r="C74" t="str">
            <v>DAR</v>
          </cell>
          <cell r="D74" t="str">
            <v>DIVERS ARA</v>
          </cell>
          <cell r="E74">
            <v>0</v>
          </cell>
          <cell r="F74">
            <v>0</v>
          </cell>
          <cell r="G74">
            <v>0</v>
          </cell>
          <cell r="H74">
            <v>200</v>
          </cell>
          <cell r="I74">
            <v>363.37</v>
          </cell>
          <cell r="J74">
            <v>712.2</v>
          </cell>
          <cell r="K74">
            <v>-348.83</v>
          </cell>
          <cell r="L74">
            <v>-163.37</v>
          </cell>
          <cell r="M74">
            <v>-363.37</v>
          </cell>
          <cell r="N74">
            <v>0</v>
          </cell>
          <cell r="O74">
            <v>200</v>
          </cell>
          <cell r="P74">
            <v>363.37</v>
          </cell>
          <cell r="Q74">
            <v>712.2</v>
          </cell>
          <cell r="R74">
            <v>294.37</v>
          </cell>
          <cell r="S74">
            <v>-348.83</v>
          </cell>
          <cell r="T74">
            <v>-163.37</v>
          </cell>
          <cell r="U74">
            <v>-363.37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-363.37</v>
          </cell>
          <cell r="AB74">
            <v>363.37</v>
          </cell>
          <cell r="AC74">
            <v>69</v>
          </cell>
          <cell r="AD74">
            <v>417.83</v>
          </cell>
          <cell r="AE74">
            <v>0</v>
          </cell>
          <cell r="AF74">
            <v>-163.37</v>
          </cell>
          <cell r="AG74" t="e">
            <v>#N/A</v>
          </cell>
          <cell r="AH74" t="e">
            <v>#N/A</v>
          </cell>
        </row>
        <row r="75">
          <cell r="A75" t="str">
            <v>DDEN</v>
          </cell>
          <cell r="B75" t="str">
            <v>N</v>
          </cell>
          <cell r="C75" t="str">
            <v>DDE</v>
          </cell>
          <cell r="D75" t="str">
            <v>TRVX POUR DES</v>
          </cell>
          <cell r="E75">
            <v>0</v>
          </cell>
          <cell r="F75">
            <v>8.08</v>
          </cell>
          <cell r="G75">
            <v>0</v>
          </cell>
          <cell r="H75">
            <v>82</v>
          </cell>
          <cell r="I75">
            <v>114.88</v>
          </cell>
          <cell r="J75">
            <v>114.88</v>
          </cell>
          <cell r="K75">
            <v>0</v>
          </cell>
          <cell r="L75">
            <v>-32.880000000000003</v>
          </cell>
          <cell r="M75">
            <v>-114.88</v>
          </cell>
          <cell r="N75">
            <v>1019</v>
          </cell>
          <cell r="O75">
            <v>976.476</v>
          </cell>
          <cell r="P75">
            <v>784.31000000000006</v>
          </cell>
          <cell r="Q75">
            <v>731.31000000000006</v>
          </cell>
          <cell r="R75">
            <v>728.44</v>
          </cell>
          <cell r="S75">
            <v>1.7763568394002505E-15</v>
          </cell>
          <cell r="T75">
            <v>192.16599999999994</v>
          </cell>
          <cell r="U75">
            <v>234.68999999999994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-122.96</v>
          </cell>
          <cell r="AB75">
            <v>114.88</v>
          </cell>
          <cell r="AC75">
            <v>2.8700000000000063</v>
          </cell>
          <cell r="AD75">
            <v>2.87</v>
          </cell>
          <cell r="AE75">
            <v>0</v>
          </cell>
          <cell r="AF75">
            <v>192.16599999999997</v>
          </cell>
          <cell r="AG75">
            <v>0</v>
          </cell>
          <cell r="AH75">
            <v>192.12599999999998</v>
          </cell>
        </row>
        <row r="76">
          <cell r="A76" t="str">
            <v>DH4N</v>
          </cell>
          <cell r="B76" t="str">
            <v>N</v>
          </cell>
          <cell r="C76" t="str">
            <v>DH4</v>
          </cell>
          <cell r="D76" t="str">
            <v>DASH8-WP14</v>
          </cell>
          <cell r="E76">
            <v>4149</v>
          </cell>
          <cell r="F76">
            <v>49185.51</v>
          </cell>
          <cell r="G76">
            <v>0</v>
          </cell>
          <cell r="H76">
            <v>57.4</v>
          </cell>
          <cell r="I76">
            <v>2598.4722000000002</v>
          </cell>
          <cell r="J76">
            <v>2599.04</v>
          </cell>
          <cell r="K76">
            <v>-0.55999999999994543</v>
          </cell>
          <cell r="L76">
            <v>-2541.0722000000001</v>
          </cell>
          <cell r="M76">
            <v>-2598.4722000000002</v>
          </cell>
          <cell r="N76">
            <v>53934</v>
          </cell>
          <cell r="O76">
            <v>55638.294270548686</v>
          </cell>
          <cell r="P76">
            <v>65831.1342</v>
          </cell>
          <cell r="Q76">
            <v>65835.820000000007</v>
          </cell>
          <cell r="R76">
            <v>65835.209999999992</v>
          </cell>
          <cell r="S76">
            <v>-0.55999999999994543</v>
          </cell>
          <cell r="T76">
            <v>-10192.839929451315</v>
          </cell>
          <cell r="U76">
            <v>-11897.1342</v>
          </cell>
          <cell r="V76">
            <v>0</v>
          </cell>
          <cell r="W76">
            <v>0</v>
          </cell>
          <cell r="X76">
            <v>0</v>
          </cell>
          <cell r="Y76">
            <v>34276</v>
          </cell>
          <cell r="Z76">
            <v>0</v>
          </cell>
          <cell r="AA76">
            <v>-17507.982200000006</v>
          </cell>
          <cell r="AB76">
            <v>2478.9822000000004</v>
          </cell>
          <cell r="AC76">
            <v>4.2200000000000001E-2</v>
          </cell>
          <cell r="AD76">
            <v>0.61000000000001364</v>
          </cell>
          <cell r="AE76">
            <v>-517.11220000000117</v>
          </cell>
          <cell r="AF76">
            <v>-9936.6657294513225</v>
          </cell>
          <cell r="AG76">
            <v>-454.61530000000494</v>
          </cell>
          <cell r="AH76">
            <v>-8459.7737294513208</v>
          </cell>
        </row>
        <row r="77">
          <cell r="A77" t="str">
            <v>DHEN</v>
          </cell>
          <cell r="B77" t="str">
            <v>N</v>
          </cell>
          <cell r="C77" t="str">
            <v>DHE</v>
          </cell>
          <cell r="D77" t="str">
            <v>DIVERS HEL</v>
          </cell>
          <cell r="E77">
            <v>0</v>
          </cell>
          <cell r="F77">
            <v>0</v>
          </cell>
          <cell r="G77">
            <v>0</v>
          </cell>
          <cell r="H77">
            <v>653.67999999999995</v>
          </cell>
          <cell r="I77">
            <v>633.86</v>
          </cell>
          <cell r="J77">
            <v>381.68</v>
          </cell>
          <cell r="K77">
            <v>252.18</v>
          </cell>
          <cell r="L77">
            <v>19.819999999999936</v>
          </cell>
          <cell r="M77">
            <v>-633.86</v>
          </cell>
          <cell r="N77">
            <v>633</v>
          </cell>
          <cell r="O77">
            <v>653.67999999999995</v>
          </cell>
          <cell r="P77">
            <v>633.86</v>
          </cell>
          <cell r="Q77">
            <v>381.68</v>
          </cell>
          <cell r="R77">
            <v>350.28</v>
          </cell>
          <cell r="S77">
            <v>252.18</v>
          </cell>
          <cell r="T77">
            <v>19.819999999999936</v>
          </cell>
          <cell r="U77">
            <v>-0.86000000000001364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-633.86</v>
          </cell>
          <cell r="AB77">
            <v>633.86</v>
          </cell>
          <cell r="AC77">
            <v>283.58</v>
          </cell>
          <cell r="AD77">
            <v>31.4</v>
          </cell>
          <cell r="AE77">
            <v>0</v>
          </cell>
          <cell r="AF77">
            <v>19.819999999999936</v>
          </cell>
          <cell r="AG77">
            <v>0</v>
          </cell>
          <cell r="AH77">
            <v>0</v>
          </cell>
        </row>
        <row r="78">
          <cell r="A78" t="str">
            <v>DHXN</v>
          </cell>
          <cell r="B78" t="str">
            <v>N</v>
          </cell>
          <cell r="C78" t="str">
            <v>DHX</v>
          </cell>
          <cell r="D78" t="str">
            <v>DASH8-AUTRES</v>
          </cell>
          <cell r="E78">
            <v>190</v>
          </cell>
          <cell r="F78">
            <v>488.49</v>
          </cell>
          <cell r="G78">
            <v>0</v>
          </cell>
          <cell r="H78">
            <v>6457.37</v>
          </cell>
          <cell r="I78">
            <v>5011.4302000000007</v>
          </cell>
          <cell r="J78">
            <v>4071.38</v>
          </cell>
          <cell r="K78">
            <v>940.00799999999981</v>
          </cell>
          <cell r="L78">
            <v>1445.9397999999997</v>
          </cell>
          <cell r="M78">
            <v>-5011.4302000000007</v>
          </cell>
          <cell r="N78">
            <v>15670</v>
          </cell>
          <cell r="O78">
            <v>17630.974500168002</v>
          </cell>
          <cell r="P78">
            <v>16859.273960000002</v>
          </cell>
          <cell r="Q78">
            <v>15304.920000000002</v>
          </cell>
          <cell r="R78">
            <v>15263.310000000001</v>
          </cell>
          <cell r="S78">
            <v>940.00799999999981</v>
          </cell>
          <cell r="T78">
            <v>771.70054016799986</v>
          </cell>
          <cell r="U78">
            <v>-1189.2739600000023</v>
          </cell>
          <cell r="V78">
            <v>596.63876000000005</v>
          </cell>
          <cell r="W78">
            <v>0</v>
          </cell>
          <cell r="X78">
            <v>0</v>
          </cell>
          <cell r="Y78">
            <v>520</v>
          </cell>
          <cell r="Z78">
            <v>0</v>
          </cell>
          <cell r="AA78">
            <v>-5576.5589600000003</v>
          </cell>
          <cell r="AB78">
            <v>5011.4302000000007</v>
          </cell>
          <cell r="AC78">
            <v>981.66019999999992</v>
          </cell>
          <cell r="AD78">
            <v>41.61</v>
          </cell>
          <cell r="AE78">
            <v>42.997799999998847</v>
          </cell>
          <cell r="AF78">
            <v>1193.766739999998</v>
          </cell>
          <cell r="AG78">
            <v>34.649999999999636</v>
          </cell>
          <cell r="AH78">
            <v>-450.08530000000064</v>
          </cell>
        </row>
        <row r="79">
          <cell r="A79" t="str">
            <v>DIHN</v>
          </cell>
          <cell r="B79" t="str">
            <v>N</v>
          </cell>
          <cell r="C79" t="str">
            <v>DIH</v>
          </cell>
          <cell r="D79" t="str">
            <v>TRVX POUR IHM</v>
          </cell>
          <cell r="E79">
            <v>0</v>
          </cell>
          <cell r="F79">
            <v>0</v>
          </cell>
          <cell r="G79">
            <v>0</v>
          </cell>
          <cell r="H79">
            <v>205</v>
          </cell>
          <cell r="I79">
            <v>120.79</v>
          </cell>
          <cell r="J79">
            <v>120.79</v>
          </cell>
          <cell r="K79">
            <v>0</v>
          </cell>
          <cell r="L79">
            <v>84.21</v>
          </cell>
          <cell r="M79">
            <v>-120.79</v>
          </cell>
          <cell r="N79">
            <v>470</v>
          </cell>
          <cell r="O79">
            <v>469.28000000000003</v>
          </cell>
          <cell r="P79">
            <v>391.53000000000003</v>
          </cell>
          <cell r="Q79">
            <v>391.53000000000003</v>
          </cell>
          <cell r="R79">
            <v>391.53000000000003</v>
          </cell>
          <cell r="S79">
            <v>0</v>
          </cell>
          <cell r="T79">
            <v>77.75</v>
          </cell>
          <cell r="U79">
            <v>78.46999999999997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-120.79</v>
          </cell>
          <cell r="AB79">
            <v>120.79</v>
          </cell>
          <cell r="AC79">
            <v>0</v>
          </cell>
          <cell r="AD79">
            <v>0</v>
          </cell>
          <cell r="AE79">
            <v>0</v>
          </cell>
          <cell r="AF79">
            <v>77.750000000000014</v>
          </cell>
          <cell r="AG79">
            <v>0</v>
          </cell>
          <cell r="AH79">
            <v>-47.45999999999998</v>
          </cell>
        </row>
        <row r="80">
          <cell r="A80" t="str">
            <v>DNAN</v>
          </cell>
          <cell r="B80" t="str">
            <v>N</v>
          </cell>
          <cell r="C80" t="str">
            <v>DNA</v>
          </cell>
          <cell r="D80" t="str">
            <v>DIVERS NAV</v>
          </cell>
          <cell r="E80">
            <v>0</v>
          </cell>
          <cell r="F80">
            <v>0</v>
          </cell>
          <cell r="G80">
            <v>0</v>
          </cell>
          <cell r="H80">
            <v>2602.6</v>
          </cell>
          <cell r="I80">
            <v>1866.49</v>
          </cell>
          <cell r="J80">
            <v>1844.09</v>
          </cell>
          <cell r="K80">
            <v>22.399999999999636</v>
          </cell>
          <cell r="L80">
            <v>736.11</v>
          </cell>
          <cell r="M80">
            <v>-1866.49</v>
          </cell>
          <cell r="N80">
            <v>0</v>
          </cell>
          <cell r="O80">
            <v>2988.89</v>
          </cell>
          <cell r="P80">
            <v>2478.91</v>
          </cell>
          <cell r="Q80">
            <v>1844.09</v>
          </cell>
          <cell r="R80">
            <v>853.79</v>
          </cell>
          <cell r="S80">
            <v>22.399999999999636</v>
          </cell>
          <cell r="T80">
            <v>509.98</v>
          </cell>
          <cell r="U80">
            <v>-2478.91</v>
          </cell>
          <cell r="V80">
            <v>612.41999999999996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-2478.91</v>
          </cell>
          <cell r="AB80">
            <v>1866.49</v>
          </cell>
          <cell r="AC80">
            <v>1012.7</v>
          </cell>
          <cell r="AD80">
            <v>990.3</v>
          </cell>
          <cell r="AE80">
            <v>0</v>
          </cell>
          <cell r="AF80">
            <v>509.98</v>
          </cell>
          <cell r="AG80">
            <v>0</v>
          </cell>
          <cell r="AH80">
            <v>0</v>
          </cell>
        </row>
        <row r="81">
          <cell r="A81" t="str">
            <v>DSUN</v>
          </cell>
          <cell r="B81" t="str">
            <v>N</v>
          </cell>
          <cell r="C81" t="str">
            <v>DSU</v>
          </cell>
          <cell r="D81" t="str">
            <v>DIVERS SSU</v>
          </cell>
          <cell r="E81">
            <v>0</v>
          </cell>
          <cell r="F81">
            <v>58.14</v>
          </cell>
          <cell r="G81">
            <v>0</v>
          </cell>
          <cell r="H81">
            <v>222.5</v>
          </cell>
          <cell r="I81">
            <v>135.80000000000001</v>
          </cell>
          <cell r="J81">
            <v>166.2</v>
          </cell>
          <cell r="K81">
            <v>-30.4</v>
          </cell>
          <cell r="L81">
            <v>86.7</v>
          </cell>
          <cell r="M81">
            <v>-135.80000000000001</v>
          </cell>
          <cell r="N81">
            <v>484</v>
          </cell>
          <cell r="O81">
            <v>400.85</v>
          </cell>
          <cell r="P81">
            <v>236.1</v>
          </cell>
          <cell r="Q81">
            <v>260.39</v>
          </cell>
          <cell r="R81">
            <v>174.64</v>
          </cell>
          <cell r="S81">
            <v>-30.4</v>
          </cell>
          <cell r="T81">
            <v>164.75000000000003</v>
          </cell>
          <cell r="U81">
            <v>247.9</v>
          </cell>
          <cell r="V81">
            <v>0</v>
          </cell>
          <cell r="W81">
            <v>0</v>
          </cell>
          <cell r="X81">
            <v>0</v>
          </cell>
          <cell r="Y81">
            <v>120</v>
          </cell>
          <cell r="Z81">
            <v>0</v>
          </cell>
          <cell r="AA81">
            <v>-73.94</v>
          </cell>
          <cell r="AB81">
            <v>135.80000000000001</v>
          </cell>
          <cell r="AC81">
            <v>55.35</v>
          </cell>
          <cell r="AD81">
            <v>85.75</v>
          </cell>
          <cell r="AE81">
            <v>0</v>
          </cell>
          <cell r="AF81">
            <v>164.75</v>
          </cell>
          <cell r="AG81">
            <v>0</v>
          </cell>
          <cell r="AH81">
            <v>-91.439999999999969</v>
          </cell>
        </row>
        <row r="82">
          <cell r="A82" t="str">
            <v>EAAN</v>
          </cell>
          <cell r="B82" t="str">
            <v>N</v>
          </cell>
          <cell r="C82" t="str">
            <v>EAA</v>
          </cell>
          <cell r="D82" t="str">
            <v>ETUDES AAE</v>
          </cell>
          <cell r="E82">
            <v>0</v>
          </cell>
          <cell r="F82">
            <v>202.57</v>
          </cell>
          <cell r="G82">
            <v>0</v>
          </cell>
          <cell r="H82">
            <v>917.16</v>
          </cell>
          <cell r="I82">
            <v>1152.71</v>
          </cell>
          <cell r="J82">
            <v>1224.0999999999999</v>
          </cell>
          <cell r="K82">
            <v>-71.390000000000072</v>
          </cell>
          <cell r="L82">
            <v>-235.55</v>
          </cell>
          <cell r="M82">
            <v>-1152.71</v>
          </cell>
          <cell r="N82">
            <v>6071</v>
          </cell>
          <cell r="O82">
            <v>6082.848</v>
          </cell>
          <cell r="P82">
            <v>6297.884</v>
          </cell>
          <cell r="Q82">
            <v>5353.22</v>
          </cell>
          <cell r="R82">
            <v>5175.47</v>
          </cell>
          <cell r="S82">
            <v>-71.39</v>
          </cell>
          <cell r="T82">
            <v>-215.03600000000006</v>
          </cell>
          <cell r="U82">
            <v>-226.88400000000001</v>
          </cell>
          <cell r="V82">
            <v>178.8</v>
          </cell>
          <cell r="W82">
            <v>0</v>
          </cell>
          <cell r="X82">
            <v>0</v>
          </cell>
          <cell r="Y82">
            <v>1081</v>
          </cell>
          <cell r="Z82">
            <v>0</v>
          </cell>
          <cell r="AA82">
            <v>-453.08</v>
          </cell>
          <cell r="AB82">
            <v>1152.71</v>
          </cell>
          <cell r="AC82">
            <v>106.36</v>
          </cell>
          <cell r="AD82">
            <v>177.75</v>
          </cell>
          <cell r="AE82">
            <v>-46.953999999999724</v>
          </cell>
          <cell r="AF82">
            <v>-235.08200000000062</v>
          </cell>
          <cell r="AG82">
            <v>-46.953999999999724</v>
          </cell>
          <cell r="AH82">
            <v>-379.92200000000139</v>
          </cell>
        </row>
        <row r="83">
          <cell r="A83" t="str">
            <v>EAPN</v>
          </cell>
          <cell r="B83" t="str">
            <v>N</v>
          </cell>
          <cell r="C83" t="str">
            <v>EAP</v>
          </cell>
          <cell r="D83" t="str">
            <v>ETUDES APN</v>
          </cell>
          <cell r="E83">
            <v>0</v>
          </cell>
          <cell r="F83">
            <v>1843.49</v>
          </cell>
          <cell r="G83">
            <v>0</v>
          </cell>
          <cell r="H83">
            <v>595.798</v>
          </cell>
          <cell r="I83">
            <v>227.06</v>
          </cell>
          <cell r="J83">
            <v>231.9</v>
          </cell>
          <cell r="K83">
            <v>-4.839999999999943</v>
          </cell>
          <cell r="L83">
            <v>368.738</v>
          </cell>
          <cell r="M83">
            <v>-227.06</v>
          </cell>
          <cell r="N83">
            <v>8245</v>
          </cell>
          <cell r="O83">
            <v>7925.3279999999995</v>
          </cell>
          <cell r="P83">
            <v>8116.66</v>
          </cell>
          <cell r="Q83">
            <v>3930.1899999999996</v>
          </cell>
          <cell r="R83">
            <v>3925.3500000000004</v>
          </cell>
          <cell r="S83">
            <v>-4.839999999999943</v>
          </cell>
          <cell r="T83">
            <v>-191.33200000000033</v>
          </cell>
          <cell r="U83">
            <v>128.34000000000015</v>
          </cell>
          <cell r="V83">
            <v>101.88</v>
          </cell>
          <cell r="W83">
            <v>22.88</v>
          </cell>
          <cell r="X83">
            <v>0</v>
          </cell>
          <cell r="Y83">
            <v>980</v>
          </cell>
          <cell r="Z83">
            <v>0</v>
          </cell>
          <cell r="AA83">
            <v>-1215.31</v>
          </cell>
          <cell r="AB83">
            <v>227.06</v>
          </cell>
          <cell r="AC83">
            <v>0</v>
          </cell>
          <cell r="AD83">
            <v>4.839999999999943</v>
          </cell>
          <cell r="AE83">
            <v>0</v>
          </cell>
          <cell r="AF83">
            <v>-191.33199999999988</v>
          </cell>
          <cell r="AG83">
            <v>0</v>
          </cell>
          <cell r="AH83">
            <v>118.23999999999978</v>
          </cell>
        </row>
        <row r="84">
          <cell r="A84" t="str">
            <v>EARN</v>
          </cell>
          <cell r="B84" t="str">
            <v>N</v>
          </cell>
          <cell r="C84" t="str">
            <v>EAR</v>
          </cell>
          <cell r="D84" t="str">
            <v>ETUDES ARA</v>
          </cell>
          <cell r="E84">
            <v>0</v>
          </cell>
          <cell r="F84">
            <v>0</v>
          </cell>
          <cell r="G84">
            <v>0</v>
          </cell>
          <cell r="H84">
            <v>90.4</v>
          </cell>
          <cell r="I84">
            <v>90.8</v>
          </cell>
          <cell r="J84">
            <v>91.66</v>
          </cell>
          <cell r="K84">
            <v>-0.85999999999999943</v>
          </cell>
          <cell r="L84">
            <v>-0.39999999999999147</v>
          </cell>
          <cell r="M84">
            <v>-90.8</v>
          </cell>
          <cell r="N84">
            <v>691</v>
          </cell>
          <cell r="O84">
            <v>690.23</v>
          </cell>
          <cell r="P84">
            <v>692.26</v>
          </cell>
          <cell r="Q84">
            <v>653.62</v>
          </cell>
          <cell r="R84">
            <v>587.76</v>
          </cell>
          <cell r="S84">
            <v>-0.85999999999999943</v>
          </cell>
          <cell r="T84">
            <v>-2.0299999999999727</v>
          </cell>
          <cell r="U84">
            <v>-1.2599999999999909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-90.8</v>
          </cell>
          <cell r="AB84">
            <v>90.8</v>
          </cell>
          <cell r="AC84">
            <v>65</v>
          </cell>
          <cell r="AD84">
            <v>65.86</v>
          </cell>
          <cell r="AE84">
            <v>0</v>
          </cell>
          <cell r="AF84">
            <v>-2.0299999999999869</v>
          </cell>
          <cell r="AG84">
            <v>0</v>
          </cell>
          <cell r="AH84">
            <v>-1.6299999999999955</v>
          </cell>
        </row>
        <row r="85">
          <cell r="A85" t="str">
            <v>EHEN</v>
          </cell>
          <cell r="B85" t="str">
            <v>N</v>
          </cell>
          <cell r="C85" t="str">
            <v>EHE</v>
          </cell>
          <cell r="D85" t="str">
            <v>ETUDES HEL</v>
          </cell>
          <cell r="E85">
            <v>0</v>
          </cell>
          <cell r="F85">
            <v>0</v>
          </cell>
          <cell r="G85">
            <v>0</v>
          </cell>
          <cell r="H85">
            <v>2616.4310006640003</v>
          </cell>
          <cell r="I85">
            <v>2234.04</v>
          </cell>
          <cell r="J85">
            <v>2151.67</v>
          </cell>
          <cell r="K85">
            <v>82.369999999999891</v>
          </cell>
          <cell r="L85">
            <v>382.39100066399988</v>
          </cell>
          <cell r="M85">
            <v>-2234.04</v>
          </cell>
          <cell r="N85">
            <v>3958</v>
          </cell>
          <cell r="O85">
            <v>4105.9151506864</v>
          </cell>
          <cell r="P85">
            <v>3486.96</v>
          </cell>
          <cell r="Q85">
            <v>2236.2000000000003</v>
          </cell>
          <cell r="R85">
            <v>1278.67</v>
          </cell>
          <cell r="S85">
            <v>82.369999999999891</v>
          </cell>
          <cell r="T85">
            <v>618.95515068639997</v>
          </cell>
          <cell r="U85">
            <v>471.03999999999996</v>
          </cell>
          <cell r="V85">
            <v>1168.3900000000001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-3402.43</v>
          </cell>
          <cell r="AB85">
            <v>2234.04</v>
          </cell>
          <cell r="AC85">
            <v>1039.9000000000001</v>
          </cell>
          <cell r="AD85">
            <v>957.53</v>
          </cell>
          <cell r="AE85">
            <v>0</v>
          </cell>
          <cell r="AF85">
            <v>618.95515068640032</v>
          </cell>
          <cell r="AG85">
            <v>0</v>
          </cell>
          <cell r="AH85">
            <v>173.08</v>
          </cell>
        </row>
        <row r="86">
          <cell r="A86" t="str">
            <v>EISN</v>
          </cell>
          <cell r="B86" t="str">
            <v>N</v>
          </cell>
          <cell r="C86" t="str">
            <v>EIS</v>
          </cell>
          <cell r="D86" t="str">
            <v>EIS</v>
          </cell>
          <cell r="E86">
            <v>0</v>
          </cell>
          <cell r="F86">
            <v>5471.07</v>
          </cell>
          <cell r="G86">
            <v>0</v>
          </cell>
          <cell r="H86">
            <v>14266.4511</v>
          </cell>
          <cell r="I86">
            <v>17222.28</v>
          </cell>
          <cell r="J86">
            <v>15736.08</v>
          </cell>
          <cell r="K86">
            <v>1440.69</v>
          </cell>
          <cell r="L86">
            <v>-2955.8288999999991</v>
          </cell>
          <cell r="M86">
            <v>-17222.28</v>
          </cell>
          <cell r="N86">
            <v>21690</v>
          </cell>
          <cell r="O86">
            <v>23724.4421</v>
          </cell>
          <cell r="P86">
            <v>25828.209000000003</v>
          </cell>
          <cell r="Q86">
            <v>21207.15</v>
          </cell>
          <cell r="R86">
            <v>18368.169999999998</v>
          </cell>
          <cell r="S86">
            <v>1486.2</v>
          </cell>
          <cell r="T86">
            <v>-2103.7669000000024</v>
          </cell>
          <cell r="U86">
            <v>-4138.2090000000026</v>
          </cell>
          <cell r="V86">
            <v>3134.8590000000004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-25828.209000000003</v>
          </cell>
          <cell r="AB86">
            <v>17176.77</v>
          </cell>
          <cell r="AC86">
            <v>4325.18</v>
          </cell>
          <cell r="AD86">
            <v>2838.98</v>
          </cell>
          <cell r="AE86">
            <v>0</v>
          </cell>
          <cell r="AF86">
            <v>-2103.766900000001</v>
          </cell>
          <cell r="AG86">
            <v>0</v>
          </cell>
          <cell r="AH86">
            <v>-19.56699999999546</v>
          </cell>
        </row>
        <row r="87">
          <cell r="A87" t="str">
            <v>ETSN</v>
          </cell>
          <cell r="B87" t="str">
            <v>N</v>
          </cell>
          <cell r="C87" t="str">
            <v>ETS</v>
          </cell>
          <cell r="D87" t="str">
            <v>ETUDES ATS</v>
          </cell>
          <cell r="E87">
            <v>0</v>
          </cell>
          <cell r="F87">
            <v>0</v>
          </cell>
          <cell r="G87">
            <v>0</v>
          </cell>
          <cell r="H87">
            <v>1239.1288993680005</v>
          </cell>
          <cell r="I87">
            <v>100.12</v>
          </cell>
          <cell r="J87">
            <v>171.99</v>
          </cell>
          <cell r="K87">
            <v>-71.87</v>
          </cell>
          <cell r="L87">
            <v>1139.0088993680004</v>
          </cell>
          <cell r="M87">
            <v>-100.12</v>
          </cell>
          <cell r="N87">
            <v>0</v>
          </cell>
          <cell r="O87">
            <v>10500.169054785601</v>
          </cell>
          <cell r="P87">
            <v>10500.164520000002</v>
          </cell>
          <cell r="Q87">
            <v>171.99</v>
          </cell>
          <cell r="R87">
            <v>0</v>
          </cell>
          <cell r="S87">
            <v>-71.87</v>
          </cell>
          <cell r="T87">
            <v>4.5347855993895791E-3</v>
          </cell>
          <cell r="U87">
            <v>-10500.164520000002</v>
          </cell>
          <cell r="V87">
            <v>7418.0452000000005</v>
          </cell>
          <cell r="W87">
            <v>2837.1170400000005</v>
          </cell>
          <cell r="X87">
            <v>144.88228000000001</v>
          </cell>
          <cell r="Y87">
            <v>0</v>
          </cell>
          <cell r="Z87">
            <v>0</v>
          </cell>
          <cell r="AA87">
            <v>-10500.164520000002</v>
          </cell>
          <cell r="AB87">
            <v>100.12</v>
          </cell>
          <cell r="AC87">
            <v>100.12</v>
          </cell>
          <cell r="AD87">
            <v>171.99</v>
          </cell>
          <cell r="AE87">
            <v>0</v>
          </cell>
          <cell r="AF87">
            <v>4.5347855993895791E-3</v>
          </cell>
          <cell r="AG87" t="e">
            <v>#N/A</v>
          </cell>
          <cell r="AH87" t="e">
            <v>#N/A</v>
          </cell>
        </row>
        <row r="88">
          <cell r="A88" t="str">
            <v>FADN</v>
          </cell>
          <cell r="B88" t="str">
            <v>N</v>
          </cell>
          <cell r="C88" t="str">
            <v>FAD</v>
          </cell>
          <cell r="D88" t="str">
            <v>FADEC</v>
          </cell>
          <cell r="E88">
            <v>1844</v>
          </cell>
          <cell r="F88">
            <v>11919.18</v>
          </cell>
          <cell r="G88">
            <v>0</v>
          </cell>
          <cell r="H88">
            <v>1937.3910000000001</v>
          </cell>
          <cell r="I88">
            <v>1955.7460000000001</v>
          </cell>
          <cell r="J88">
            <v>1739.24</v>
          </cell>
          <cell r="K88">
            <v>127.79</v>
          </cell>
          <cell r="L88">
            <v>-18.355000000000175</v>
          </cell>
          <cell r="M88">
            <v>-1955.7460000000001</v>
          </cell>
          <cell r="N88">
            <v>12582</v>
          </cell>
          <cell r="O88">
            <v>13025.1702</v>
          </cell>
          <cell r="P88">
            <v>14966.905999999999</v>
          </cell>
          <cell r="Q88">
            <v>14750.4</v>
          </cell>
          <cell r="R88">
            <v>14637.279999999999</v>
          </cell>
          <cell r="S88">
            <v>127.79</v>
          </cell>
          <cell r="T88">
            <v>-1941.7357999999986</v>
          </cell>
          <cell r="U88">
            <v>-2384.905999999999</v>
          </cell>
          <cell r="V88">
            <v>0</v>
          </cell>
          <cell r="W88">
            <v>0</v>
          </cell>
          <cell r="X88">
            <v>0</v>
          </cell>
          <cell r="Y88">
            <v>9313</v>
          </cell>
          <cell r="Z88">
            <v>0</v>
          </cell>
          <cell r="AA88">
            <v>-4561.9259999999995</v>
          </cell>
          <cell r="AB88">
            <v>1951.6960000000013</v>
          </cell>
          <cell r="AC88">
            <v>329.62600000000009</v>
          </cell>
          <cell r="AD88">
            <v>113.12</v>
          </cell>
          <cell r="AE88">
            <v>-378.63600000000008</v>
          </cell>
          <cell r="AF88">
            <v>-1851.451800000001</v>
          </cell>
          <cell r="AG88">
            <v>-296.29350000000159</v>
          </cell>
          <cell r="AH88">
            <v>-1834.4668000000001</v>
          </cell>
        </row>
        <row r="89">
          <cell r="A89" t="str">
            <v>FM1N</v>
          </cell>
          <cell r="B89" t="str">
            <v>N</v>
          </cell>
          <cell r="C89" t="str">
            <v>FM1</v>
          </cell>
          <cell r="D89" t="str">
            <v>FMC1</v>
          </cell>
          <cell r="E89">
            <v>600</v>
          </cell>
          <cell r="F89">
            <v>14263.44</v>
          </cell>
          <cell r="G89">
            <v>0</v>
          </cell>
          <cell r="H89">
            <v>2997.7902230620803</v>
          </cell>
          <cell r="I89">
            <v>6122.63</v>
          </cell>
          <cell r="J89">
            <v>6222.16</v>
          </cell>
          <cell r="K89">
            <v>-99.570000000000078</v>
          </cell>
          <cell r="L89">
            <v>-3124.8397769379203</v>
          </cell>
          <cell r="M89">
            <v>-6122.63</v>
          </cell>
          <cell r="N89">
            <v>19583</v>
          </cell>
          <cell r="O89">
            <v>26199.770423126076</v>
          </cell>
          <cell r="P89">
            <v>27230.252220000002</v>
          </cell>
          <cell r="Q89">
            <v>20662.64</v>
          </cell>
          <cell r="R89">
            <v>19577.11</v>
          </cell>
          <cell r="S89">
            <v>-99.57</v>
          </cell>
          <cell r="T89">
            <v>-1030.4817968739262</v>
          </cell>
          <cell r="U89">
            <v>-7647.2522200000021</v>
          </cell>
          <cell r="V89">
            <v>6665.9879999999994</v>
          </cell>
          <cell r="W89">
            <v>13.294220000000001</v>
          </cell>
          <cell r="X89">
            <v>0</v>
          </cell>
          <cell r="Y89">
            <v>17750</v>
          </cell>
          <cell r="Z89">
            <v>0</v>
          </cell>
          <cell r="AA89">
            <v>-9315.3522200000007</v>
          </cell>
          <cell r="AB89">
            <v>6122.63</v>
          </cell>
          <cell r="AC89">
            <v>986</v>
          </cell>
          <cell r="AD89">
            <v>1085.53</v>
          </cell>
          <cell r="AE89">
            <v>-193.40800000000002</v>
          </cell>
          <cell r="AF89">
            <v>-866.66672000000131</v>
          </cell>
          <cell r="AG89">
            <v>-121.79000000000087</v>
          </cell>
          <cell r="AH89">
            <v>-959.27970370000185</v>
          </cell>
        </row>
        <row r="90">
          <cell r="A90" t="str">
            <v>FM2N</v>
          </cell>
          <cell r="B90" t="str">
            <v>N</v>
          </cell>
          <cell r="C90" t="str">
            <v>FM2</v>
          </cell>
          <cell r="D90" t="str">
            <v>FMC2</v>
          </cell>
          <cell r="E90">
            <v>139</v>
          </cell>
          <cell r="F90">
            <v>7849.89</v>
          </cell>
          <cell r="G90">
            <v>0</v>
          </cell>
          <cell r="H90">
            <v>0</v>
          </cell>
          <cell r="I90">
            <v>67.55</v>
          </cell>
          <cell r="J90">
            <v>67.55</v>
          </cell>
          <cell r="K90">
            <v>0</v>
          </cell>
          <cell r="L90">
            <v>-67.55</v>
          </cell>
          <cell r="M90">
            <v>-67.55</v>
          </cell>
          <cell r="N90">
            <v>6945</v>
          </cell>
          <cell r="O90">
            <v>6689.976999999999</v>
          </cell>
          <cell r="P90">
            <v>7917.44</v>
          </cell>
          <cell r="Q90">
            <v>7917.44</v>
          </cell>
          <cell r="R90">
            <v>7917.44</v>
          </cell>
          <cell r="S90">
            <v>0</v>
          </cell>
          <cell r="T90">
            <v>-1227.4630000000006</v>
          </cell>
          <cell r="U90">
            <v>-972.4399999999996</v>
          </cell>
          <cell r="V90">
            <v>0</v>
          </cell>
          <cell r="W90">
            <v>0</v>
          </cell>
          <cell r="X90">
            <v>0</v>
          </cell>
          <cell r="Y90">
            <v>6945</v>
          </cell>
          <cell r="Z90">
            <v>1105</v>
          </cell>
          <cell r="AA90">
            <v>-972.44</v>
          </cell>
          <cell r="AB90">
            <v>67.55</v>
          </cell>
          <cell r="AC90">
            <v>0</v>
          </cell>
          <cell r="AD90">
            <v>0</v>
          </cell>
          <cell r="AE90">
            <v>9.09</v>
          </cell>
          <cell r="AF90">
            <v>-1322.876</v>
          </cell>
          <cell r="AG90">
            <v>9.0900000000001455</v>
          </cell>
          <cell r="AH90">
            <v>-1412.7560000000012</v>
          </cell>
        </row>
        <row r="91">
          <cell r="A91" t="str">
            <v>FMGN</v>
          </cell>
          <cell r="B91" t="str">
            <v>N</v>
          </cell>
          <cell r="C91" t="str">
            <v>FMG</v>
          </cell>
          <cell r="D91" t="str">
            <v>FMGC/FMGEC</v>
          </cell>
          <cell r="E91">
            <v>0</v>
          </cell>
          <cell r="F91">
            <v>9064.81</v>
          </cell>
          <cell r="G91">
            <v>0</v>
          </cell>
          <cell r="H91">
            <v>1445.6241000000002</v>
          </cell>
          <cell r="I91">
            <v>3931.2049999999999</v>
          </cell>
          <cell r="J91">
            <v>3705.71</v>
          </cell>
          <cell r="K91">
            <v>225.495</v>
          </cell>
          <cell r="L91">
            <v>-2485.5808999999995</v>
          </cell>
          <cell r="M91">
            <v>-3931.2049999999999</v>
          </cell>
          <cell r="N91">
            <v>16323</v>
          </cell>
          <cell r="O91">
            <v>18218.239179999993</v>
          </cell>
          <cell r="P91">
            <v>18172.433000000005</v>
          </cell>
          <cell r="Q91">
            <v>12770.52</v>
          </cell>
          <cell r="R91">
            <v>12402.14</v>
          </cell>
          <cell r="S91">
            <v>225.495</v>
          </cell>
          <cell r="T91">
            <v>45.806179999988672</v>
          </cell>
          <cell r="U91">
            <v>-1849.4330000000045</v>
          </cell>
          <cell r="V91">
            <v>5079.3580000000002</v>
          </cell>
          <cell r="W91">
            <v>97.06</v>
          </cell>
          <cell r="X91">
            <v>0</v>
          </cell>
          <cell r="Y91">
            <v>16323</v>
          </cell>
          <cell r="Z91">
            <v>9723</v>
          </cell>
          <cell r="AA91">
            <v>-1849.4330000000045</v>
          </cell>
          <cell r="AB91">
            <v>3931.2049999999999</v>
          </cell>
          <cell r="AC91">
            <v>593.875</v>
          </cell>
          <cell r="AD91">
            <v>368.38</v>
          </cell>
          <cell r="AE91">
            <v>0</v>
          </cell>
          <cell r="AF91">
            <v>45.8061800000022</v>
          </cell>
          <cell r="AG91">
            <v>0</v>
          </cell>
          <cell r="AH91">
            <v>-462.70891999999913</v>
          </cell>
        </row>
        <row r="92">
          <cell r="A92" t="str">
            <v>GEXN</v>
          </cell>
          <cell r="B92" t="str">
            <v>N</v>
          </cell>
          <cell r="C92" t="str">
            <v>GEX</v>
          </cell>
          <cell r="D92" t="str">
            <v>GEX</v>
          </cell>
          <cell r="E92">
            <v>0</v>
          </cell>
          <cell r="F92">
            <v>255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47905</v>
          </cell>
          <cell r="O92">
            <v>51846.816501778761</v>
          </cell>
          <cell r="P92">
            <v>60263.18</v>
          </cell>
          <cell r="Q92">
            <v>60719.109999999993</v>
          </cell>
          <cell r="R92">
            <v>60719.109999999993</v>
          </cell>
          <cell r="S92">
            <v>0</v>
          </cell>
          <cell r="T92">
            <v>-8416.3634982212388</v>
          </cell>
          <cell r="U92">
            <v>-12358.18</v>
          </cell>
          <cell r="V92">
            <v>0</v>
          </cell>
          <cell r="W92">
            <v>0</v>
          </cell>
          <cell r="X92">
            <v>0</v>
          </cell>
          <cell r="Y92">
            <v>255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-5065.7900000000081</v>
          </cell>
          <cell r="AF92">
            <v>-7768.5734982212234</v>
          </cell>
          <cell r="AG92">
            <v>-5065.7900000000081</v>
          </cell>
          <cell r="AH92">
            <v>-7768.5734982212234</v>
          </cell>
        </row>
        <row r="93">
          <cell r="A93" t="str">
            <v>GKSN</v>
          </cell>
          <cell r="B93" t="str">
            <v>N</v>
          </cell>
          <cell r="C93" t="str">
            <v>GKS</v>
          </cell>
          <cell r="D93" t="str">
            <v>GCAS-Notif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1750</v>
          </cell>
          <cell r="O93">
            <v>13316.578000000001</v>
          </cell>
          <cell r="P93">
            <v>13316.578000000001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-11566.578000000001</v>
          </cell>
          <cell r="V93">
            <v>7917.88</v>
          </cell>
          <cell r="W93">
            <v>5398.6980000000003</v>
          </cell>
          <cell r="X93">
            <v>0</v>
          </cell>
          <cell r="Y93">
            <v>0</v>
          </cell>
          <cell r="Z93">
            <v>0</v>
          </cell>
          <cell r="AA93">
            <v>-13316.578000000001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 t="e">
            <v>#N/A</v>
          </cell>
          <cell r="AH93" t="e">
            <v>#N/A</v>
          </cell>
        </row>
        <row r="94">
          <cell r="A94" t="str">
            <v>HELN</v>
          </cell>
          <cell r="B94" t="str">
            <v>N</v>
          </cell>
          <cell r="C94" t="str">
            <v>HEL</v>
          </cell>
          <cell r="D94" t="str">
            <v>RAO HEL</v>
          </cell>
          <cell r="E94">
            <v>0</v>
          </cell>
          <cell r="F94">
            <v>0</v>
          </cell>
          <cell r="G94">
            <v>0</v>
          </cell>
          <cell r="H94">
            <v>133.9</v>
          </cell>
          <cell r="I94">
            <v>110.85</v>
          </cell>
          <cell r="J94">
            <v>126.47</v>
          </cell>
          <cell r="K94">
            <v>-15.62</v>
          </cell>
          <cell r="L94">
            <v>23.05</v>
          </cell>
          <cell r="M94">
            <v>-110.85</v>
          </cell>
          <cell r="N94">
            <v>200</v>
          </cell>
          <cell r="O94">
            <v>274.89999999999998</v>
          </cell>
          <cell r="P94">
            <v>354.28999999999996</v>
          </cell>
          <cell r="Q94">
            <v>651.72</v>
          </cell>
          <cell r="R94">
            <v>619.70000000000005</v>
          </cell>
          <cell r="S94">
            <v>-15.62</v>
          </cell>
          <cell r="T94">
            <v>-79.389999999999986</v>
          </cell>
          <cell r="U94">
            <v>-154.28999999999996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-110.85</v>
          </cell>
          <cell r="AB94">
            <v>110.85</v>
          </cell>
          <cell r="AC94">
            <v>16.399999999999999</v>
          </cell>
          <cell r="AD94">
            <v>32.020000000000003</v>
          </cell>
          <cell r="AE94">
            <v>0</v>
          </cell>
          <cell r="AF94">
            <v>-79.39</v>
          </cell>
          <cell r="AG94">
            <v>0</v>
          </cell>
          <cell r="AH94">
            <v>-102.44</v>
          </cell>
        </row>
        <row r="95">
          <cell r="A95" t="str">
            <v>IMSN</v>
          </cell>
          <cell r="B95" t="str">
            <v>N</v>
          </cell>
          <cell r="C95" t="str">
            <v>IMS</v>
          </cell>
          <cell r="D95" t="str">
            <v>IMS400</v>
          </cell>
          <cell r="E95">
            <v>0</v>
          </cell>
          <cell r="F95">
            <v>2934.55</v>
          </cell>
          <cell r="G95">
            <v>0</v>
          </cell>
          <cell r="H95">
            <v>7784.5790030000007</v>
          </cell>
          <cell r="I95">
            <v>8865.2800000000007</v>
          </cell>
          <cell r="J95">
            <v>8131.49</v>
          </cell>
          <cell r="K95">
            <v>733.79</v>
          </cell>
          <cell r="L95">
            <v>-1080.700996999999</v>
          </cell>
          <cell r="M95">
            <v>-8865.2800000000007</v>
          </cell>
          <cell r="N95">
            <v>12087</v>
          </cell>
          <cell r="O95">
            <v>12283.923001000001</v>
          </cell>
          <cell r="P95">
            <v>13252.39</v>
          </cell>
          <cell r="Q95">
            <v>11066.04</v>
          </cell>
          <cell r="R95">
            <v>9933.83</v>
          </cell>
          <cell r="S95">
            <v>733.79</v>
          </cell>
          <cell r="T95">
            <v>-968.4669989999984</v>
          </cell>
          <cell r="U95">
            <v>-1165.3899999999994</v>
          </cell>
          <cell r="V95">
            <v>1452.56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-13252.39</v>
          </cell>
          <cell r="AB95">
            <v>8865.2800000000007</v>
          </cell>
          <cell r="AC95">
            <v>1866</v>
          </cell>
          <cell r="AD95">
            <v>1132.21</v>
          </cell>
          <cell r="AE95">
            <v>0</v>
          </cell>
          <cell r="AF95">
            <v>-968.46699899999976</v>
          </cell>
          <cell r="AG95">
            <v>0</v>
          </cell>
          <cell r="AH95">
            <v>0.1790000000019063</v>
          </cell>
        </row>
        <row r="96">
          <cell r="A96" t="str">
            <v>MDTN</v>
          </cell>
          <cell r="B96" t="str">
            <v>N</v>
          </cell>
          <cell r="C96" t="str">
            <v>MDT</v>
          </cell>
          <cell r="D96" t="str">
            <v>MOYENS DE TEST</v>
          </cell>
          <cell r="E96">
            <v>0</v>
          </cell>
          <cell r="F96">
            <v>15896.82</v>
          </cell>
          <cell r="G96">
            <v>0</v>
          </cell>
          <cell r="H96">
            <v>6637.1681000360013</v>
          </cell>
          <cell r="I96">
            <v>7018.9440999999997</v>
          </cell>
          <cell r="J96">
            <v>7019.3</v>
          </cell>
          <cell r="K96">
            <v>-0.35589999999982069</v>
          </cell>
          <cell r="L96">
            <v>-381.77599996399994</v>
          </cell>
          <cell r="M96">
            <v>-7018.9440999999997</v>
          </cell>
          <cell r="N96">
            <v>6424</v>
          </cell>
          <cell r="O96">
            <v>20597.463779820002</v>
          </cell>
          <cell r="P96">
            <v>23694.484100000005</v>
          </cell>
          <cell r="Q96">
            <v>22916.12</v>
          </cell>
          <cell r="R96">
            <v>22803.54</v>
          </cell>
          <cell r="S96">
            <v>-0.3558999999998349</v>
          </cell>
          <cell r="T96">
            <v>-3097.0203201800032</v>
          </cell>
          <cell r="U96">
            <v>-17270.484100000005</v>
          </cell>
          <cell r="V96">
            <v>778.72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-23694.484100000005</v>
          </cell>
          <cell r="AB96">
            <v>7018.9441000000006</v>
          </cell>
          <cell r="AC96">
            <v>112.22410000000015</v>
          </cell>
          <cell r="AD96">
            <v>112.58</v>
          </cell>
          <cell r="AE96">
            <v>0</v>
          </cell>
          <cell r="AF96">
            <v>-3097.0203201799991</v>
          </cell>
          <cell r="AG96">
            <v>60</v>
          </cell>
          <cell r="AH96">
            <v>-3198.3203201799988</v>
          </cell>
        </row>
        <row r="97">
          <cell r="A97" t="str">
            <v>MIRN</v>
          </cell>
          <cell r="B97" t="str">
            <v>N</v>
          </cell>
          <cell r="C97" t="str">
            <v>MIR</v>
          </cell>
          <cell r="D97" t="str">
            <v>MIRAGE</v>
          </cell>
          <cell r="E97">
            <v>0</v>
          </cell>
          <cell r="F97">
            <v>3176.93</v>
          </cell>
          <cell r="G97">
            <v>0</v>
          </cell>
          <cell r="H97">
            <v>19045.895000000004</v>
          </cell>
          <cell r="I97">
            <v>19914.655000000002</v>
          </cell>
          <cell r="J97">
            <v>15935.78</v>
          </cell>
          <cell r="K97">
            <v>3978.875</v>
          </cell>
          <cell r="L97">
            <v>-868.76000000000101</v>
          </cell>
          <cell r="M97">
            <v>-19914.655000000002</v>
          </cell>
          <cell r="N97">
            <v>22485</v>
          </cell>
          <cell r="O97">
            <v>30782.724400000003</v>
          </cell>
          <cell r="P97">
            <v>31852.107999999997</v>
          </cell>
          <cell r="Q97">
            <v>22384.37</v>
          </cell>
          <cell r="R97">
            <v>18821.919999999998</v>
          </cell>
          <cell r="S97">
            <v>3978.875</v>
          </cell>
          <cell r="T97">
            <v>-1069.3835999999937</v>
          </cell>
          <cell r="U97">
            <v>-9367.1079999999965</v>
          </cell>
          <cell r="V97">
            <v>5467.262999999999</v>
          </cell>
          <cell r="W97">
            <v>0</v>
          </cell>
          <cell r="X97">
            <v>0</v>
          </cell>
          <cell r="Y97">
            <v>1455</v>
          </cell>
          <cell r="Z97">
            <v>0</v>
          </cell>
          <cell r="AA97">
            <v>-27125.447999999997</v>
          </cell>
          <cell r="AB97">
            <v>19914.655000000002</v>
          </cell>
          <cell r="AC97">
            <v>7541.3250000000016</v>
          </cell>
          <cell r="AD97">
            <v>3562.45</v>
          </cell>
          <cell r="AE97">
            <v>70.820000000000164</v>
          </cell>
          <cell r="AF97">
            <v>-1140.2036000000001</v>
          </cell>
          <cell r="AG97">
            <v>70.819999999999709</v>
          </cell>
          <cell r="AH97">
            <v>231.84697999999844</v>
          </cell>
        </row>
        <row r="98">
          <cell r="A98" t="str">
            <v>NH9N</v>
          </cell>
          <cell r="B98" t="str">
            <v>N</v>
          </cell>
          <cell r="C98" t="str">
            <v>NH9</v>
          </cell>
          <cell r="D98" t="str">
            <v>NH90</v>
          </cell>
          <cell r="E98">
            <v>1726</v>
          </cell>
          <cell r="F98">
            <v>25106.97</v>
          </cell>
          <cell r="G98">
            <v>0</v>
          </cell>
          <cell r="H98">
            <v>1917.81</v>
          </cell>
          <cell r="I98">
            <v>4272.3640999999998</v>
          </cell>
          <cell r="J98">
            <v>3875.6</v>
          </cell>
          <cell r="K98">
            <v>396.76409999999987</v>
          </cell>
          <cell r="L98">
            <v>-2354.5540999999998</v>
          </cell>
          <cell r="M98">
            <v>-4272.3640999999998</v>
          </cell>
          <cell r="N98">
            <v>30242</v>
          </cell>
          <cell r="O98">
            <v>30198.564999777805</v>
          </cell>
          <cell r="P98">
            <v>32420.356100000008</v>
          </cell>
          <cell r="Q98">
            <v>31298.5</v>
          </cell>
          <cell r="R98">
            <v>30100.54</v>
          </cell>
          <cell r="S98">
            <v>396.76409999999987</v>
          </cell>
          <cell r="T98">
            <v>-2221.7911002222027</v>
          </cell>
          <cell r="U98">
            <v>-2178.3561000000082</v>
          </cell>
          <cell r="V98">
            <v>730.91200000000003</v>
          </cell>
          <cell r="W98">
            <v>0</v>
          </cell>
          <cell r="X98">
            <v>0</v>
          </cell>
          <cell r="Y98">
            <v>25515</v>
          </cell>
          <cell r="Z98">
            <v>3800</v>
          </cell>
          <cell r="AA98">
            <v>-4595.2461000000076</v>
          </cell>
          <cell r="AB98">
            <v>4272.3640999999998</v>
          </cell>
          <cell r="AC98">
            <v>1594.7241000000001</v>
          </cell>
          <cell r="AD98">
            <v>1197.96</v>
          </cell>
          <cell r="AE98">
            <v>-146.11000000000001</v>
          </cell>
          <cell r="AF98">
            <v>-2075.6811002221993</v>
          </cell>
          <cell r="AG98">
            <v>-146.11000000000058</v>
          </cell>
          <cell r="AH98">
            <v>-582.47190022219002</v>
          </cell>
        </row>
        <row r="99">
          <cell r="A99" t="str">
            <v>NMRN</v>
          </cell>
          <cell r="B99" t="str">
            <v>N</v>
          </cell>
          <cell r="C99" t="str">
            <v>NMR</v>
          </cell>
          <cell r="D99" t="str">
            <v>NIMROD</v>
          </cell>
          <cell r="E99">
            <v>4760</v>
          </cell>
          <cell r="F99">
            <v>20010.93</v>
          </cell>
          <cell r="G99">
            <v>0</v>
          </cell>
          <cell r="H99">
            <v>9296.9528000000009</v>
          </cell>
          <cell r="I99">
            <v>15855.490800000001</v>
          </cell>
          <cell r="J99">
            <v>15110.74</v>
          </cell>
          <cell r="K99">
            <v>612.91000000000076</v>
          </cell>
          <cell r="L99">
            <v>-6558.5380000000005</v>
          </cell>
          <cell r="M99">
            <v>-15855.490800000001</v>
          </cell>
          <cell r="N99">
            <v>37865</v>
          </cell>
          <cell r="O99">
            <v>37379.051800000001</v>
          </cell>
          <cell r="P99">
            <v>40534.174799999986</v>
          </cell>
          <cell r="Q99">
            <v>35166.439999999995</v>
          </cell>
          <cell r="R99">
            <v>31787.3</v>
          </cell>
          <cell r="S99">
            <v>612.91000000000076</v>
          </cell>
          <cell r="T99">
            <v>-3155.122999999985</v>
          </cell>
          <cell r="U99">
            <v>-2669.1747999999861</v>
          </cell>
          <cell r="V99">
            <v>4116.2340000000004</v>
          </cell>
          <cell r="W99">
            <v>506.75</v>
          </cell>
          <cell r="X99">
            <v>0</v>
          </cell>
          <cell r="Y99">
            <v>31854</v>
          </cell>
          <cell r="Z99">
            <v>0</v>
          </cell>
          <cell r="AA99">
            <v>-8635.4047999999893</v>
          </cell>
          <cell r="AB99">
            <v>15706.380800000004</v>
          </cell>
          <cell r="AC99">
            <v>4123.890800000001</v>
          </cell>
          <cell r="AD99">
            <v>3379.14</v>
          </cell>
          <cell r="AE99">
            <v>-2064.6208000000001</v>
          </cell>
          <cell r="AF99">
            <v>-1497.752999999999</v>
          </cell>
          <cell r="AG99">
            <v>-241.31999999999971</v>
          </cell>
          <cell r="AH99">
            <v>-786.41100000000006</v>
          </cell>
        </row>
        <row r="100">
          <cell r="A100" t="str">
            <v>OBSN</v>
          </cell>
          <cell r="B100" t="str">
            <v>N</v>
          </cell>
          <cell r="C100" t="str">
            <v>OBS</v>
          </cell>
          <cell r="D100" t="str">
            <v>OBSOLESCENCE</v>
          </cell>
          <cell r="E100">
            <v>7356</v>
          </cell>
          <cell r="F100">
            <v>455.51</v>
          </cell>
          <cell r="G100">
            <v>0</v>
          </cell>
          <cell r="H100">
            <v>4467.7839999999997</v>
          </cell>
          <cell r="I100">
            <v>5145.2</v>
          </cell>
          <cell r="J100">
            <v>5064.7700000000004</v>
          </cell>
          <cell r="K100">
            <v>156.22400000000016</v>
          </cell>
          <cell r="L100">
            <v>-677.41600000000039</v>
          </cell>
          <cell r="M100">
            <v>-5145.2</v>
          </cell>
          <cell r="N100">
            <v>15616</v>
          </cell>
          <cell r="O100">
            <v>19145.769670000001</v>
          </cell>
          <cell r="P100">
            <v>17012.788</v>
          </cell>
          <cell r="Q100">
            <v>10270.52</v>
          </cell>
          <cell r="R100">
            <v>9074.01</v>
          </cell>
          <cell r="S100">
            <v>156.22399999999993</v>
          </cell>
          <cell r="T100">
            <v>2132.981670000001</v>
          </cell>
          <cell r="U100">
            <v>-1396.7880000000005</v>
          </cell>
          <cell r="V100">
            <v>6553.6779999999999</v>
          </cell>
          <cell r="W100">
            <v>135.72999999999999</v>
          </cell>
          <cell r="X100">
            <v>0</v>
          </cell>
          <cell r="Y100">
            <v>0</v>
          </cell>
          <cell r="Z100">
            <v>0</v>
          </cell>
          <cell r="AA100">
            <v>-12290.117999999999</v>
          </cell>
          <cell r="AB100">
            <v>5145.2</v>
          </cell>
          <cell r="AC100">
            <v>1276.94</v>
          </cell>
          <cell r="AD100">
            <v>1196.51</v>
          </cell>
          <cell r="AE100">
            <v>329.34400000000005</v>
          </cell>
          <cell r="AF100">
            <v>2064.8336700000009</v>
          </cell>
          <cell r="AG100">
            <v>331.2599999999984</v>
          </cell>
          <cell r="AH100">
            <v>1553.3356700000004</v>
          </cell>
        </row>
        <row r="101">
          <cell r="A101" t="str">
            <v>PRTN</v>
          </cell>
          <cell r="B101" t="str">
            <v>N</v>
          </cell>
          <cell r="C101" t="str">
            <v>PRT</v>
          </cell>
          <cell r="D101" t="str">
            <v>PRINTER</v>
          </cell>
          <cell r="E101">
            <v>0</v>
          </cell>
          <cell r="F101">
            <v>51.77</v>
          </cell>
          <cell r="G101">
            <v>0</v>
          </cell>
          <cell r="H101">
            <v>1665.7550000000001</v>
          </cell>
          <cell r="I101">
            <v>1921.48</v>
          </cell>
          <cell r="J101">
            <v>1918.79</v>
          </cell>
          <cell r="K101">
            <v>2.6900000000001114</v>
          </cell>
          <cell r="L101">
            <v>-255.72499999999999</v>
          </cell>
          <cell r="M101">
            <v>-1921.48</v>
          </cell>
          <cell r="N101">
            <v>2000</v>
          </cell>
          <cell r="O101">
            <v>2009.9749999999999</v>
          </cell>
          <cell r="P101">
            <v>2249.65</v>
          </cell>
          <cell r="Q101">
            <v>2133.3000000000002</v>
          </cell>
          <cell r="R101">
            <v>1333.17</v>
          </cell>
          <cell r="S101">
            <v>2.690000000000083</v>
          </cell>
          <cell r="T101">
            <v>-239.67500000000018</v>
          </cell>
          <cell r="U101">
            <v>-249.65000000000009</v>
          </cell>
          <cell r="V101">
            <v>117.5</v>
          </cell>
          <cell r="W101">
            <v>0</v>
          </cell>
          <cell r="X101">
            <v>0</v>
          </cell>
          <cell r="Y101">
            <v>50</v>
          </cell>
          <cell r="Z101">
            <v>0</v>
          </cell>
          <cell r="AA101">
            <v>-2040.75</v>
          </cell>
          <cell r="AB101">
            <v>1921.48</v>
          </cell>
          <cell r="AC101">
            <v>802.82</v>
          </cell>
          <cell r="AD101">
            <v>800.13</v>
          </cell>
          <cell r="AE101">
            <v>0</v>
          </cell>
          <cell r="AF101">
            <v>-239.67500000000001</v>
          </cell>
          <cell r="AG101">
            <v>0</v>
          </cell>
          <cell r="AH101">
            <v>-34.640000000000015</v>
          </cell>
        </row>
        <row r="102">
          <cell r="A102" t="str">
            <v>PZLN</v>
          </cell>
          <cell r="B102" t="str">
            <v>N</v>
          </cell>
          <cell r="C102" t="str">
            <v>PZL</v>
          </cell>
          <cell r="D102" t="str">
            <v>PZL</v>
          </cell>
          <cell r="E102">
            <v>0</v>
          </cell>
          <cell r="F102">
            <v>1348.75</v>
          </cell>
          <cell r="G102">
            <v>0</v>
          </cell>
          <cell r="H102">
            <v>0</v>
          </cell>
          <cell r="I102">
            <v>194.36</v>
          </cell>
          <cell r="J102">
            <v>194.21</v>
          </cell>
          <cell r="K102">
            <v>0.15000000000009095</v>
          </cell>
          <cell r="L102">
            <v>-194.36</v>
          </cell>
          <cell r="M102">
            <v>-194.36</v>
          </cell>
          <cell r="N102">
            <v>3184</v>
          </cell>
          <cell r="O102">
            <v>1928.3080000000002</v>
          </cell>
          <cell r="P102">
            <v>1543.11</v>
          </cell>
          <cell r="Q102">
            <v>1542.96</v>
          </cell>
          <cell r="R102">
            <v>1796.11</v>
          </cell>
          <cell r="S102">
            <v>0.15000000000009095</v>
          </cell>
          <cell r="T102">
            <v>385.19800000000032</v>
          </cell>
          <cell r="U102">
            <v>1640.89</v>
          </cell>
          <cell r="V102">
            <v>0</v>
          </cell>
          <cell r="W102">
            <v>0</v>
          </cell>
          <cell r="X102">
            <v>0</v>
          </cell>
          <cell r="Y102">
            <v>2460</v>
          </cell>
          <cell r="Z102">
            <v>0</v>
          </cell>
          <cell r="AA102">
            <v>916.89</v>
          </cell>
          <cell r="AB102">
            <v>194.36</v>
          </cell>
          <cell r="AC102">
            <v>-253</v>
          </cell>
          <cell r="AD102">
            <v>-253.15</v>
          </cell>
          <cell r="AE102">
            <v>0</v>
          </cell>
          <cell r="AF102">
            <v>385.19800000000009</v>
          </cell>
          <cell r="AG102">
            <v>0</v>
          </cell>
          <cell r="AH102">
            <v>68.026000000000295</v>
          </cell>
        </row>
        <row r="103">
          <cell r="A103" t="str">
            <v>RAFN</v>
          </cell>
          <cell r="B103" t="str">
            <v>N</v>
          </cell>
          <cell r="C103" t="str">
            <v>RAF</v>
          </cell>
          <cell r="D103" t="str">
            <v>RAFALE</v>
          </cell>
          <cell r="E103">
            <v>0</v>
          </cell>
          <cell r="F103">
            <v>6196.15</v>
          </cell>
          <cell r="G103">
            <v>0</v>
          </cell>
          <cell r="H103">
            <v>1025.9100000000001</v>
          </cell>
          <cell r="I103">
            <v>1090.28</v>
          </cell>
          <cell r="J103">
            <v>401.64</v>
          </cell>
          <cell r="K103">
            <v>688.64</v>
          </cell>
          <cell r="L103">
            <v>-64.37</v>
          </cell>
          <cell r="M103">
            <v>-1090.28</v>
          </cell>
          <cell r="N103">
            <v>13405</v>
          </cell>
          <cell r="O103">
            <v>14383.901949571682</v>
          </cell>
          <cell r="P103">
            <v>16044.26</v>
          </cell>
          <cell r="Q103">
            <v>15266.57</v>
          </cell>
          <cell r="R103">
            <v>15141.59</v>
          </cell>
          <cell r="S103">
            <v>688.64</v>
          </cell>
          <cell r="T103">
            <v>-1660.3580504283182</v>
          </cell>
          <cell r="U103">
            <v>-2639.26</v>
          </cell>
          <cell r="V103">
            <v>89.05</v>
          </cell>
          <cell r="W103">
            <v>0</v>
          </cell>
          <cell r="X103">
            <v>0</v>
          </cell>
          <cell r="Y103">
            <v>4465</v>
          </cell>
          <cell r="Z103">
            <v>0</v>
          </cell>
          <cell r="AA103">
            <v>-2910.48</v>
          </cell>
          <cell r="AB103">
            <v>1090.28</v>
          </cell>
          <cell r="AC103">
            <v>813.62</v>
          </cell>
          <cell r="AD103">
            <v>124.98</v>
          </cell>
          <cell r="AE103">
            <v>0</v>
          </cell>
          <cell r="AF103">
            <v>-1660.3580504283182</v>
          </cell>
          <cell r="AG103">
            <v>0</v>
          </cell>
          <cell r="AH103">
            <v>-1642.4580504283149</v>
          </cell>
        </row>
        <row r="104">
          <cell r="A104" t="str">
            <v>RENN</v>
          </cell>
          <cell r="B104" t="str">
            <v>N</v>
          </cell>
          <cell r="C104" t="str">
            <v>REN</v>
          </cell>
          <cell r="D104" t="str">
            <v>RENOV AIRBUS</v>
          </cell>
          <cell r="E104">
            <v>5063</v>
          </cell>
          <cell r="F104">
            <v>37252.32</v>
          </cell>
          <cell r="G104">
            <v>0</v>
          </cell>
          <cell r="H104">
            <v>2239.4941000000003</v>
          </cell>
          <cell r="I104">
            <v>11737.71700011</v>
          </cell>
          <cell r="J104">
            <v>11093.47</v>
          </cell>
          <cell r="K104">
            <v>554.1270001099997</v>
          </cell>
          <cell r="L104">
            <v>-9498.2229001099986</v>
          </cell>
          <cell r="M104">
            <v>-11737.71700011</v>
          </cell>
          <cell r="N104">
            <v>27555</v>
          </cell>
          <cell r="O104">
            <v>33428.065164</v>
          </cell>
          <cell r="P104">
            <v>51699.225000109989</v>
          </cell>
          <cell r="Q104">
            <v>48345.79</v>
          </cell>
          <cell r="R104">
            <v>45835.7</v>
          </cell>
          <cell r="S104">
            <v>554.1270001099997</v>
          </cell>
          <cell r="T104">
            <v>-18271.15983610999</v>
          </cell>
          <cell r="U104">
            <v>-24144.225000109989</v>
          </cell>
          <cell r="V104">
            <v>2709.1880000000001</v>
          </cell>
          <cell r="W104">
            <v>0</v>
          </cell>
          <cell r="X104">
            <v>0</v>
          </cell>
          <cell r="Y104">
            <v>23925</v>
          </cell>
          <cell r="Z104">
            <v>3920</v>
          </cell>
          <cell r="AA104">
            <v>-27774.225000109989</v>
          </cell>
          <cell r="AB104">
            <v>11737.717000110002</v>
          </cell>
          <cell r="AC104">
            <v>3154.3370001099997</v>
          </cell>
          <cell r="AD104">
            <v>2510.09</v>
          </cell>
          <cell r="AE104">
            <v>-788.91</v>
          </cell>
          <cell r="AF104">
            <v>-17407.72983611</v>
          </cell>
          <cell r="AG104">
            <v>-577.5769999999975</v>
          </cell>
          <cell r="AH104">
            <v>-8396.0508938608</v>
          </cell>
        </row>
        <row r="105">
          <cell r="A105" t="str">
            <v>RJXN</v>
          </cell>
          <cell r="B105" t="str">
            <v>N</v>
          </cell>
          <cell r="C105" t="str">
            <v>RJX</v>
          </cell>
          <cell r="D105" t="str">
            <v>RJ700</v>
          </cell>
          <cell r="E105">
            <v>1934</v>
          </cell>
          <cell r="F105">
            <v>20607.009999999998</v>
          </cell>
          <cell r="G105">
            <v>0</v>
          </cell>
          <cell r="H105">
            <v>5970.01999918</v>
          </cell>
          <cell r="I105">
            <v>7849.6533000000009</v>
          </cell>
          <cell r="J105">
            <v>7805.57</v>
          </cell>
          <cell r="K105">
            <v>90.481000000000023</v>
          </cell>
          <cell r="L105">
            <v>-1879.6333008199999</v>
          </cell>
          <cell r="M105">
            <v>-7849.6533000000009</v>
          </cell>
          <cell r="N105">
            <v>29616</v>
          </cell>
          <cell r="O105">
            <v>30168.759300062917</v>
          </cell>
          <cell r="P105">
            <v>30714.167299999997</v>
          </cell>
          <cell r="Q105">
            <v>29474.780000000002</v>
          </cell>
          <cell r="R105">
            <v>28806.420000000002</v>
          </cell>
          <cell r="S105">
            <v>90.480999999999923</v>
          </cell>
          <cell r="T105">
            <v>-545.4079999370806</v>
          </cell>
          <cell r="U105">
            <v>-1098.1672999999973</v>
          </cell>
          <cell r="V105">
            <v>1200.934</v>
          </cell>
          <cell r="W105">
            <v>0</v>
          </cell>
          <cell r="X105">
            <v>0</v>
          </cell>
          <cell r="Y105">
            <v>23443</v>
          </cell>
          <cell r="Z105">
            <v>0</v>
          </cell>
          <cell r="AA105">
            <v>-6214.5972999999976</v>
          </cell>
          <cell r="AB105">
            <v>7849.6532999999999</v>
          </cell>
          <cell r="AC105">
            <v>712.44329999999991</v>
          </cell>
          <cell r="AD105">
            <v>668.36</v>
          </cell>
          <cell r="AE105">
            <v>15.627699999999919</v>
          </cell>
          <cell r="AF105">
            <v>-556.03569993707902</v>
          </cell>
          <cell r="AG105">
            <v>8.3016999999999825</v>
          </cell>
          <cell r="AH105">
            <v>-552.2066999370727</v>
          </cell>
        </row>
        <row r="106">
          <cell r="A106" t="str">
            <v>TBDN</v>
          </cell>
          <cell r="B106" t="str">
            <v>N</v>
          </cell>
          <cell r="C106" t="str">
            <v>TBD</v>
          </cell>
          <cell r="D106" t="str">
            <v>TBD</v>
          </cell>
          <cell r="E106">
            <v>0</v>
          </cell>
          <cell r="F106">
            <v>0</v>
          </cell>
          <cell r="G106">
            <v>0</v>
          </cell>
          <cell r="H106">
            <v>2988.02</v>
          </cell>
          <cell r="I106">
            <v>2902.46</v>
          </cell>
          <cell r="J106">
            <v>5720.03</v>
          </cell>
          <cell r="K106">
            <v>-2817.57</v>
          </cell>
          <cell r="L106">
            <v>85.559999999999889</v>
          </cell>
          <cell r="M106">
            <v>-2902.46</v>
          </cell>
          <cell r="N106">
            <v>2520</v>
          </cell>
          <cell r="O106">
            <v>2988.02</v>
          </cell>
          <cell r="P106">
            <v>2902.46</v>
          </cell>
          <cell r="Q106">
            <v>5720.03</v>
          </cell>
          <cell r="R106">
            <v>1884.12</v>
          </cell>
          <cell r="S106">
            <v>-2817.57</v>
          </cell>
          <cell r="T106">
            <v>85.559999999999945</v>
          </cell>
          <cell r="U106">
            <v>-382.46000000000004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-2902.46</v>
          </cell>
          <cell r="AB106">
            <v>2902.46</v>
          </cell>
          <cell r="AC106">
            <v>1018.34</v>
          </cell>
          <cell r="AD106">
            <v>3835.91</v>
          </cell>
          <cell r="AE106">
            <v>0</v>
          </cell>
          <cell r="AF106">
            <v>85.559999999999889</v>
          </cell>
          <cell r="AG106" t="e">
            <v>#N/A</v>
          </cell>
          <cell r="AH106" t="e">
            <v>#N/A</v>
          </cell>
        </row>
        <row r="107">
          <cell r="A107" t="str">
            <v>TCLN</v>
          </cell>
          <cell r="B107" t="str">
            <v>N</v>
          </cell>
          <cell r="C107" t="str">
            <v>TCL</v>
          </cell>
          <cell r="D107" t="str">
            <v>TC LOGICIEL</v>
          </cell>
          <cell r="E107">
            <v>0</v>
          </cell>
          <cell r="F107">
            <v>-345.89</v>
          </cell>
          <cell r="G107">
            <v>0</v>
          </cell>
          <cell r="H107">
            <v>4023.6079999999993</v>
          </cell>
          <cell r="I107">
            <v>-979.64</v>
          </cell>
          <cell r="J107">
            <v>1667.62</v>
          </cell>
          <cell r="K107">
            <v>-2647.26</v>
          </cell>
          <cell r="L107">
            <v>5003.2479999999987</v>
          </cell>
          <cell r="M107">
            <v>979.64</v>
          </cell>
          <cell r="N107">
            <v>0</v>
          </cell>
          <cell r="O107">
            <v>-0.21500000000241926</v>
          </cell>
          <cell r="P107">
            <v>163.11599999999802</v>
          </cell>
          <cell r="Q107">
            <v>1321.73</v>
          </cell>
          <cell r="R107">
            <v>-1.4000000000007731</v>
          </cell>
          <cell r="S107">
            <v>-2647.26</v>
          </cell>
          <cell r="T107">
            <v>-163.33100000000044</v>
          </cell>
          <cell r="U107">
            <v>-163.11599999999802</v>
          </cell>
          <cell r="V107">
            <v>1324.806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0.72400000000197906</v>
          </cell>
          <cell r="AB107">
            <v>-979.63999999999669</v>
          </cell>
          <cell r="AC107">
            <v>-1324.13</v>
          </cell>
          <cell r="AD107">
            <v>1323.13</v>
          </cell>
          <cell r="AE107">
            <v>0</v>
          </cell>
          <cell r="AF107">
            <v>-163.33100000000181</v>
          </cell>
          <cell r="AG107">
            <v>0</v>
          </cell>
          <cell r="AH107">
            <v>-163.84</v>
          </cell>
        </row>
        <row r="108">
          <cell r="A108" t="str">
            <v>TIGN</v>
          </cell>
          <cell r="B108" t="str">
            <v>N</v>
          </cell>
          <cell r="C108" t="str">
            <v>TIG</v>
          </cell>
          <cell r="D108" t="str">
            <v>TIGRE</v>
          </cell>
          <cell r="E108">
            <v>2271</v>
          </cell>
          <cell r="F108">
            <v>3013.36</v>
          </cell>
          <cell r="G108">
            <v>0</v>
          </cell>
          <cell r="H108">
            <v>17374.527999999998</v>
          </cell>
          <cell r="I108">
            <v>15445.2137</v>
          </cell>
          <cell r="J108">
            <v>14555.61</v>
          </cell>
          <cell r="K108">
            <v>776.7141000000006</v>
          </cell>
          <cell r="L108">
            <v>1929.3143000000018</v>
          </cell>
          <cell r="M108">
            <v>-15445.2137</v>
          </cell>
          <cell r="N108">
            <v>27450</v>
          </cell>
          <cell r="O108">
            <v>25643.731991150442</v>
          </cell>
          <cell r="P108">
            <v>28974.602300000002</v>
          </cell>
          <cell r="Q108">
            <v>19229.080000000002</v>
          </cell>
          <cell r="R108">
            <v>15748.970000000001</v>
          </cell>
          <cell r="S108">
            <v>776.7141000000006</v>
          </cell>
          <cell r="T108">
            <v>-3330.8703088495604</v>
          </cell>
          <cell r="U108">
            <v>-1524.6023000000023</v>
          </cell>
          <cell r="V108">
            <v>8824.8185999999987</v>
          </cell>
          <cell r="W108">
            <v>31.1</v>
          </cell>
          <cell r="X108">
            <v>0</v>
          </cell>
          <cell r="Y108">
            <v>4190</v>
          </cell>
          <cell r="Z108">
            <v>300</v>
          </cell>
          <cell r="AA108">
            <v>-23124.492300000002</v>
          </cell>
          <cell r="AB108">
            <v>15445.2137</v>
          </cell>
          <cell r="AC108">
            <v>4369.7137000000002</v>
          </cell>
          <cell r="AD108">
            <v>3480.11</v>
          </cell>
          <cell r="AE108">
            <v>472.11679999999978</v>
          </cell>
          <cell r="AF108">
            <v>-3331.9871088495579</v>
          </cell>
          <cell r="AG108">
            <v>1700</v>
          </cell>
          <cell r="AH108">
            <v>-392.88400884955627</v>
          </cell>
        </row>
        <row r="109">
          <cell r="A109" t="str">
            <v>TOTN</v>
          </cell>
          <cell r="B109" t="str">
            <v>N</v>
          </cell>
          <cell r="C109" t="str">
            <v>TOT</v>
          </cell>
          <cell r="D109" t="str">
            <v>TOTEM 3000</v>
          </cell>
          <cell r="E109">
            <v>0</v>
          </cell>
          <cell r="F109">
            <v>2064.12</v>
          </cell>
          <cell r="G109">
            <v>0</v>
          </cell>
          <cell r="H109">
            <v>359</v>
          </cell>
          <cell r="I109">
            <v>1417.25</v>
          </cell>
          <cell r="J109">
            <v>1619.42</v>
          </cell>
          <cell r="K109">
            <v>-202.17</v>
          </cell>
          <cell r="L109">
            <v>-1058.25</v>
          </cell>
          <cell r="M109">
            <v>-1417.25</v>
          </cell>
          <cell r="N109">
            <v>14248</v>
          </cell>
          <cell r="O109">
            <v>14051.7348</v>
          </cell>
          <cell r="P109">
            <v>16099.689999999999</v>
          </cell>
          <cell r="Q109">
            <v>16023.39</v>
          </cell>
          <cell r="R109">
            <v>15771.220000000001</v>
          </cell>
          <cell r="S109">
            <v>-202.17</v>
          </cell>
          <cell r="T109">
            <v>-2047.9551999999985</v>
          </cell>
          <cell r="U109">
            <v>-1851.6899999999987</v>
          </cell>
          <cell r="V109">
            <v>0</v>
          </cell>
          <cell r="W109">
            <v>0</v>
          </cell>
          <cell r="X109">
            <v>0</v>
          </cell>
          <cell r="Y109">
            <v>1276</v>
          </cell>
          <cell r="Z109">
            <v>0</v>
          </cell>
          <cell r="AA109">
            <v>-2205.37</v>
          </cell>
          <cell r="AB109">
            <v>1417.25</v>
          </cell>
          <cell r="AC109">
            <v>50</v>
          </cell>
          <cell r="AD109">
            <v>252.17</v>
          </cell>
          <cell r="AE109">
            <v>167.26999999999862</v>
          </cell>
          <cell r="AF109">
            <v>-2215.225199999998</v>
          </cell>
          <cell r="AG109">
            <v>167.26999999999862</v>
          </cell>
          <cell r="AH109">
            <v>-1311.0651999999973</v>
          </cell>
        </row>
        <row r="110">
          <cell r="A110" t="str">
            <v>109P</v>
          </cell>
          <cell r="B110" t="str">
            <v>P</v>
          </cell>
          <cell r="C110" t="str">
            <v>109</v>
          </cell>
          <cell r="D110" t="str">
            <v>A109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4500</v>
          </cell>
          <cell r="O110">
            <v>4989.7656865968002</v>
          </cell>
          <cell r="P110">
            <v>4989.7656865968002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-489.76568659680015</v>
          </cell>
          <cell r="V110">
            <v>2495.6439346560001</v>
          </cell>
          <cell r="W110">
            <v>2494.1217519408001</v>
          </cell>
          <cell r="X110">
            <v>0</v>
          </cell>
          <cell r="Y110">
            <v>0</v>
          </cell>
          <cell r="Z110">
            <v>0</v>
          </cell>
          <cell r="AA110">
            <v>-4989.7656865968002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 t="e">
            <v>#N/A</v>
          </cell>
          <cell r="AH110" t="e">
            <v>#N/A</v>
          </cell>
        </row>
        <row r="111">
          <cell r="A111" t="str">
            <v>310P</v>
          </cell>
          <cell r="B111" t="str">
            <v>P</v>
          </cell>
          <cell r="C111" t="str">
            <v>310</v>
          </cell>
          <cell r="D111" t="str">
            <v>A310</v>
          </cell>
          <cell r="E111">
            <v>400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14700</v>
          </cell>
          <cell r="O111">
            <v>13313.957411168401</v>
          </cell>
          <cell r="P111">
            <v>13313.957411168401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1386.0425888315986</v>
          </cell>
          <cell r="V111">
            <v>6094.7353176804008</v>
          </cell>
          <cell r="W111">
            <v>3599.3826362880004</v>
          </cell>
          <cell r="X111">
            <v>3619.8394572000002</v>
          </cell>
          <cell r="Y111">
            <v>0</v>
          </cell>
          <cell r="Z111">
            <v>0</v>
          </cell>
          <cell r="AA111">
            <v>-13313.957411168401</v>
          </cell>
          <cell r="AB111">
            <v>0</v>
          </cell>
          <cell r="AC111">
            <v>0</v>
          </cell>
          <cell r="AD111">
            <v>0</v>
          </cell>
          <cell r="AE111">
            <v>400</v>
          </cell>
          <cell r="AF111">
            <v>0</v>
          </cell>
          <cell r="AG111" t="e">
            <v>#N/A</v>
          </cell>
          <cell r="AH111" t="e">
            <v>#N/A</v>
          </cell>
        </row>
        <row r="112">
          <cell r="A112" t="str">
            <v>320P</v>
          </cell>
          <cell r="B112" t="str">
            <v>P</v>
          </cell>
          <cell r="C112" t="str">
            <v>320</v>
          </cell>
          <cell r="D112" t="str">
            <v>A320</v>
          </cell>
          <cell r="E112">
            <v>1200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20665</v>
          </cell>
          <cell r="O112">
            <v>23218.764153991364</v>
          </cell>
          <cell r="P112">
            <v>23218.764153991364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-2553.7641539913639</v>
          </cell>
          <cell r="V112">
            <v>9687.9136813019195</v>
          </cell>
          <cell r="W112">
            <v>6983.4985428990394</v>
          </cell>
          <cell r="X112">
            <v>6547.3519297904004</v>
          </cell>
          <cell r="Y112">
            <v>0</v>
          </cell>
          <cell r="Z112">
            <v>0</v>
          </cell>
          <cell r="AA112">
            <v>-23218.764153991364</v>
          </cell>
          <cell r="AB112">
            <v>0</v>
          </cell>
          <cell r="AC112">
            <v>0</v>
          </cell>
          <cell r="AD112">
            <v>0</v>
          </cell>
          <cell r="AE112">
            <v>438.19199999999995</v>
          </cell>
          <cell r="AF112">
            <v>0</v>
          </cell>
          <cell r="AG112" t="e">
            <v>#N/A</v>
          </cell>
          <cell r="AH112" t="e">
            <v>#N/A</v>
          </cell>
        </row>
        <row r="113">
          <cell r="A113" t="str">
            <v>340P</v>
          </cell>
          <cell r="B113" t="str">
            <v>P</v>
          </cell>
          <cell r="C113" t="str">
            <v>340</v>
          </cell>
          <cell r="D113" t="str">
            <v>A340</v>
          </cell>
          <cell r="E113">
            <v>300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26666</v>
          </cell>
          <cell r="O113">
            <v>22799.232299113442</v>
          </cell>
          <cell r="P113">
            <v>22799.232299113442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3866.7677008865576</v>
          </cell>
          <cell r="V113">
            <v>6426.6326708879997</v>
          </cell>
          <cell r="W113">
            <v>7659.9425928384017</v>
          </cell>
          <cell r="X113">
            <v>8712.6570353870411</v>
          </cell>
          <cell r="Y113">
            <v>0</v>
          </cell>
          <cell r="Z113">
            <v>0</v>
          </cell>
          <cell r="AA113">
            <v>-22799.232299113442</v>
          </cell>
          <cell r="AB113">
            <v>0</v>
          </cell>
          <cell r="AC113">
            <v>0</v>
          </cell>
          <cell r="AD113">
            <v>0</v>
          </cell>
          <cell r="AE113">
            <v>300</v>
          </cell>
          <cell r="AF113">
            <v>0</v>
          </cell>
          <cell r="AG113" t="e">
            <v>#N/A</v>
          </cell>
          <cell r="AH113" t="e">
            <v>#N/A</v>
          </cell>
        </row>
        <row r="114">
          <cell r="A114" t="str">
            <v>346P</v>
          </cell>
          <cell r="B114" t="str">
            <v>P</v>
          </cell>
          <cell r="C114" t="str">
            <v>346</v>
          </cell>
          <cell r="D114" t="str">
            <v>A340-600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1500</v>
          </cell>
          <cell r="O114">
            <v>1496.712</v>
          </cell>
          <cell r="P114">
            <v>1496.712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3.2880000000000109</v>
          </cell>
          <cell r="V114">
            <v>0</v>
          </cell>
          <cell r="W114">
            <v>998.23199999999997</v>
          </cell>
          <cell r="X114">
            <v>498.48</v>
          </cell>
          <cell r="Y114">
            <v>0</v>
          </cell>
          <cell r="Z114">
            <v>0</v>
          </cell>
          <cell r="AA114">
            <v>-1496.712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 t="e">
            <v>#N/A</v>
          </cell>
          <cell r="AH114" t="e">
            <v>#N/A</v>
          </cell>
        </row>
        <row r="115">
          <cell r="A115" t="str">
            <v>A3XP</v>
          </cell>
          <cell r="B115" t="str">
            <v>P</v>
          </cell>
          <cell r="C115" t="str">
            <v>A3X</v>
          </cell>
          <cell r="D115" t="str">
            <v>A3XX</v>
          </cell>
          <cell r="E115">
            <v>2000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150300</v>
          </cell>
          <cell r="O115">
            <v>74419.069869491228</v>
          </cell>
          <cell r="P115">
            <v>74419.069869491228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75880.930130508772</v>
          </cell>
          <cell r="V115">
            <v>0</v>
          </cell>
          <cell r="W115">
            <v>32452.523516803205</v>
          </cell>
          <cell r="X115">
            <v>40907.586352688006</v>
          </cell>
          <cell r="Y115">
            <v>0</v>
          </cell>
          <cell r="Z115">
            <v>0</v>
          </cell>
          <cell r="AA115">
            <v>-74419.069869491228</v>
          </cell>
          <cell r="AB115">
            <v>0</v>
          </cell>
          <cell r="AC115">
            <v>0</v>
          </cell>
          <cell r="AD115">
            <v>0</v>
          </cell>
          <cell r="AE115">
            <v>-44.5</v>
          </cell>
          <cell r="AF115">
            <v>0</v>
          </cell>
          <cell r="AG115" t="e">
            <v>#N/A</v>
          </cell>
          <cell r="AH115" t="e">
            <v>#N/A</v>
          </cell>
        </row>
        <row r="116">
          <cell r="A116" t="str">
            <v>AAEP</v>
          </cell>
          <cell r="B116" t="str">
            <v>P</v>
          </cell>
          <cell r="C116" t="str">
            <v>AAE</v>
          </cell>
          <cell r="D116" t="str">
            <v>RAO AAE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600</v>
          </cell>
          <cell r="O116">
            <v>616.28399999999999</v>
          </cell>
          <cell r="P116">
            <v>616.28399999999999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-16.283999999999992</v>
          </cell>
          <cell r="V116">
            <v>202.488</v>
          </cell>
          <cell r="W116">
            <v>205.428</v>
          </cell>
          <cell r="X116">
            <v>208.36799999999999</v>
          </cell>
          <cell r="Y116">
            <v>0</v>
          </cell>
          <cell r="Z116">
            <v>0</v>
          </cell>
          <cell r="AA116">
            <v>-616.28399999999999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 t="e">
            <v>#N/A</v>
          </cell>
          <cell r="AH116" t="e">
            <v>#N/A</v>
          </cell>
        </row>
        <row r="117">
          <cell r="A117" t="str">
            <v>ACQP</v>
          </cell>
          <cell r="B117" t="str">
            <v>P</v>
          </cell>
          <cell r="C117" t="str">
            <v>ACQ</v>
          </cell>
          <cell r="D117" t="str">
            <v>ACQUISITIONS</v>
          </cell>
          <cell r="E117">
            <v>100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700</v>
          </cell>
          <cell r="O117">
            <v>683.13652239798</v>
          </cell>
          <cell r="P117">
            <v>683.13652239798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16.863477602019998</v>
          </cell>
          <cell r="V117">
            <v>683.13652239798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-683.13652239798</v>
          </cell>
          <cell r="AB117">
            <v>0</v>
          </cell>
          <cell r="AC117">
            <v>0</v>
          </cell>
          <cell r="AD117">
            <v>0</v>
          </cell>
          <cell r="AE117">
            <v>2.4999999999991473E-2</v>
          </cell>
          <cell r="AF117">
            <v>0</v>
          </cell>
          <cell r="AG117" t="e">
            <v>#N/A</v>
          </cell>
          <cell r="AH117" t="e">
            <v>#N/A</v>
          </cell>
        </row>
        <row r="118">
          <cell r="A118" t="str">
            <v>APNP</v>
          </cell>
          <cell r="B118" t="str">
            <v>P</v>
          </cell>
          <cell r="C118" t="str">
            <v>APN</v>
          </cell>
          <cell r="D118" t="str">
            <v>RAO APN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3600</v>
          </cell>
          <cell r="O118">
            <v>3764.9173967098004</v>
          </cell>
          <cell r="P118">
            <v>3764.9173967098004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-164.91739670980041</v>
          </cell>
          <cell r="V118">
            <v>1254.94370628965</v>
          </cell>
          <cell r="W118">
            <v>1255.0148048164203</v>
          </cell>
          <cell r="X118">
            <v>1254.9588856037301</v>
          </cell>
          <cell r="Y118">
            <v>0</v>
          </cell>
          <cell r="Z118">
            <v>0</v>
          </cell>
          <cell r="AA118">
            <v>-3764.9173967098004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 t="e">
            <v>#N/A</v>
          </cell>
          <cell r="AH118" t="e">
            <v>#N/A</v>
          </cell>
        </row>
        <row r="119">
          <cell r="A119" t="str">
            <v>ARAP</v>
          </cell>
          <cell r="B119" t="str">
            <v>P</v>
          </cell>
          <cell r="C119" t="str">
            <v>ARA</v>
          </cell>
          <cell r="D119" t="str">
            <v>RAO ARA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900</v>
          </cell>
          <cell r="O119">
            <v>892.47140000000002</v>
          </cell>
          <cell r="P119">
            <v>892.47140000000002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7.5285999999999831</v>
          </cell>
          <cell r="V119">
            <v>293.06020000000001</v>
          </cell>
          <cell r="W119">
            <v>297.84059999999999</v>
          </cell>
          <cell r="X119">
            <v>301.57060000000001</v>
          </cell>
          <cell r="Y119">
            <v>0</v>
          </cell>
          <cell r="Z119">
            <v>0</v>
          </cell>
          <cell r="AA119">
            <v>-892.47140000000002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 t="e">
            <v>#N/A</v>
          </cell>
          <cell r="AH119" t="e">
            <v>#N/A</v>
          </cell>
        </row>
        <row r="120">
          <cell r="A120" t="str">
            <v>ATSP</v>
          </cell>
          <cell r="B120" t="str">
            <v>P</v>
          </cell>
          <cell r="C120" t="str">
            <v>ATS</v>
          </cell>
          <cell r="D120" t="str">
            <v>RAO ATS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900</v>
          </cell>
          <cell r="O120">
            <v>903.28480630000013</v>
          </cell>
          <cell r="P120">
            <v>903.28480630000013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-3.2848063000001275</v>
          </cell>
          <cell r="V120">
            <v>299.54725385</v>
          </cell>
          <cell r="W120">
            <v>299.89783640000007</v>
          </cell>
          <cell r="X120">
            <v>303.83971605000005</v>
          </cell>
          <cell r="Y120">
            <v>0</v>
          </cell>
          <cell r="Z120">
            <v>0</v>
          </cell>
          <cell r="AA120">
            <v>-903.28480630000013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 t="e">
            <v>#N/A</v>
          </cell>
          <cell r="AH120" t="e">
            <v>#N/A</v>
          </cell>
        </row>
        <row r="121">
          <cell r="A121" t="str">
            <v>BELP</v>
          </cell>
          <cell r="B121" t="str">
            <v>P</v>
          </cell>
          <cell r="C121" t="str">
            <v>BEL</v>
          </cell>
          <cell r="D121" t="str">
            <v>BELL427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1400</v>
          </cell>
          <cell r="O121">
            <v>1822.1478350240002</v>
          </cell>
          <cell r="P121">
            <v>1822.1478350240002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-422.14783502400019</v>
          </cell>
          <cell r="V121">
            <v>0</v>
          </cell>
          <cell r="W121">
            <v>699.29904259200009</v>
          </cell>
          <cell r="X121">
            <v>699.26479243200015</v>
          </cell>
          <cell r="Y121">
            <v>0</v>
          </cell>
          <cell r="Z121">
            <v>0</v>
          </cell>
          <cell r="AA121">
            <v>-1822.1478350240002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 t="e">
            <v>#N/A</v>
          </cell>
          <cell r="AH121" t="e">
            <v>#N/A</v>
          </cell>
        </row>
        <row r="122">
          <cell r="A122" t="str">
            <v>C13P</v>
          </cell>
          <cell r="B122" t="str">
            <v>P</v>
          </cell>
          <cell r="C122" t="str">
            <v>C13</v>
          </cell>
          <cell r="D122" t="str">
            <v>C130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1500</v>
          </cell>
          <cell r="O122">
            <v>1065.9508414813204</v>
          </cell>
          <cell r="P122">
            <v>1065.9508414813204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434.04915851867963</v>
          </cell>
          <cell r="V122">
            <v>0</v>
          </cell>
          <cell r="W122">
            <v>96.900878938200009</v>
          </cell>
          <cell r="X122">
            <v>969.04996254312027</v>
          </cell>
          <cell r="Y122">
            <v>0</v>
          </cell>
          <cell r="Z122">
            <v>0</v>
          </cell>
          <cell r="AA122">
            <v>-1065.9508414813204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 t="e">
            <v>#N/A</v>
          </cell>
          <cell r="AH122" t="e">
            <v>#N/A</v>
          </cell>
        </row>
        <row r="123">
          <cell r="A123" t="str">
            <v>CDVP</v>
          </cell>
          <cell r="B123" t="str">
            <v>P</v>
          </cell>
          <cell r="C123" t="str">
            <v>CDV</v>
          </cell>
          <cell r="D123" t="str">
            <v>DIVERS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3646.85</v>
          </cell>
          <cell r="P123">
            <v>3646.85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-3646.85</v>
          </cell>
          <cell r="V123">
            <v>1649.0240000000001</v>
          </cell>
          <cell r="W123">
            <v>998.87400000000014</v>
          </cell>
          <cell r="X123">
            <v>998.952</v>
          </cell>
          <cell r="Y123">
            <v>0</v>
          </cell>
          <cell r="Z123">
            <v>0</v>
          </cell>
          <cell r="AA123">
            <v>-3646.85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 t="e">
            <v>#N/A</v>
          </cell>
          <cell r="AH123" t="e">
            <v>#N/A</v>
          </cell>
        </row>
        <row r="124">
          <cell r="A124" t="str">
            <v>DAAP</v>
          </cell>
          <cell r="B124" t="str">
            <v>P</v>
          </cell>
          <cell r="C124" t="str">
            <v>DAA</v>
          </cell>
          <cell r="D124" t="str">
            <v>DIVERS AAE</v>
          </cell>
          <cell r="E124">
            <v>1000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17000</v>
          </cell>
          <cell r="O124">
            <v>14016.384565832799</v>
          </cell>
          <cell r="P124">
            <v>14111.610665832799</v>
          </cell>
          <cell r="Q124">
            <v>0</v>
          </cell>
          <cell r="R124">
            <v>0</v>
          </cell>
          <cell r="S124">
            <v>0</v>
          </cell>
          <cell r="T124">
            <v>-95.22609999999986</v>
          </cell>
          <cell r="U124">
            <v>2888.389334167201</v>
          </cell>
          <cell r="V124">
            <v>0</v>
          </cell>
          <cell r="W124">
            <v>4030.1685001106766</v>
          </cell>
          <cell r="X124">
            <v>8970.8360657221201</v>
          </cell>
          <cell r="Y124">
            <v>0</v>
          </cell>
          <cell r="Z124">
            <v>0</v>
          </cell>
          <cell r="AA124">
            <v>-14111.610665832799</v>
          </cell>
          <cell r="AB124">
            <v>0</v>
          </cell>
          <cell r="AC124">
            <v>0</v>
          </cell>
          <cell r="AD124">
            <v>0</v>
          </cell>
          <cell r="AE124">
            <v>-110.60609999999997</v>
          </cell>
          <cell r="AF124">
            <v>0</v>
          </cell>
          <cell r="AG124" t="e">
            <v>#N/A</v>
          </cell>
          <cell r="AH124" t="e">
            <v>#N/A</v>
          </cell>
        </row>
        <row r="125">
          <cell r="A125" t="str">
            <v>DAPP</v>
          </cell>
          <cell r="B125" t="str">
            <v>P</v>
          </cell>
          <cell r="C125" t="str">
            <v>DAP</v>
          </cell>
          <cell r="D125" t="str">
            <v>DIVERS APN</v>
          </cell>
          <cell r="E125">
            <v>0</v>
          </cell>
          <cell r="F125">
            <v>0</v>
          </cell>
          <cell r="G125">
            <v>0</v>
          </cell>
          <cell r="H125">
            <v>327.35477018520004</v>
          </cell>
          <cell r="I125">
            <v>327.35477018520004</v>
          </cell>
          <cell r="J125">
            <v>0</v>
          </cell>
          <cell r="K125">
            <v>327.35477018520004</v>
          </cell>
          <cell r="L125">
            <v>0</v>
          </cell>
          <cell r="M125">
            <v>-327.35477018520004</v>
          </cell>
          <cell r="N125">
            <v>0</v>
          </cell>
          <cell r="O125">
            <v>4998.2996367535216</v>
          </cell>
          <cell r="P125">
            <v>4998.2996367535216</v>
          </cell>
          <cell r="Q125">
            <v>0</v>
          </cell>
          <cell r="R125">
            <v>0</v>
          </cell>
          <cell r="S125">
            <v>327.35477018520004</v>
          </cell>
          <cell r="T125">
            <v>0</v>
          </cell>
          <cell r="U125">
            <v>-4998.2996367535216</v>
          </cell>
          <cell r="V125">
            <v>3572.1197679331199</v>
          </cell>
          <cell r="W125">
            <v>-399.59945305439999</v>
          </cell>
          <cell r="X125">
            <v>1498.4245516896001</v>
          </cell>
          <cell r="Y125">
            <v>0</v>
          </cell>
          <cell r="Z125">
            <v>0</v>
          </cell>
          <cell r="AA125">
            <v>-4998.2996367535216</v>
          </cell>
          <cell r="AB125">
            <v>327.35477018520004</v>
          </cell>
          <cell r="AC125">
            <v>327.35477018520004</v>
          </cell>
          <cell r="AD125">
            <v>0</v>
          </cell>
          <cell r="AE125">
            <v>0</v>
          </cell>
          <cell r="AF125">
            <v>0</v>
          </cell>
          <cell r="AG125" t="e">
            <v>#N/A</v>
          </cell>
          <cell r="AH125" t="e">
            <v>#N/A</v>
          </cell>
        </row>
        <row r="126">
          <cell r="A126" t="str">
            <v>DARP</v>
          </cell>
          <cell r="B126" t="str">
            <v>P</v>
          </cell>
          <cell r="C126" t="str">
            <v>DAR</v>
          </cell>
          <cell r="D126" t="str">
            <v>DIVERS ARA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21879.245789253604</v>
          </cell>
          <cell r="P126">
            <v>21879.245789253604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-21879.245789253604</v>
          </cell>
          <cell r="V126">
            <v>2798.9701489992003</v>
          </cell>
          <cell r="W126">
            <v>8091.8889337200008</v>
          </cell>
          <cell r="X126">
            <v>10988.386706534402</v>
          </cell>
          <cell r="Y126">
            <v>0</v>
          </cell>
          <cell r="Z126">
            <v>0</v>
          </cell>
          <cell r="AA126">
            <v>-21879.245789253604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 t="e">
            <v>#N/A</v>
          </cell>
          <cell r="AH126" t="e">
            <v>#N/A</v>
          </cell>
        </row>
        <row r="127">
          <cell r="A127" t="str">
            <v>DH8P</v>
          </cell>
          <cell r="B127" t="str">
            <v>P</v>
          </cell>
          <cell r="C127" t="str">
            <v>DH8</v>
          </cell>
          <cell r="D127" t="str">
            <v>DASH8-CDV</v>
          </cell>
          <cell r="E127">
            <v>100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2200</v>
          </cell>
          <cell r="O127">
            <v>6004.4602820000009</v>
          </cell>
          <cell r="P127">
            <v>5598.2598820000003</v>
          </cell>
          <cell r="Q127">
            <v>0</v>
          </cell>
          <cell r="R127">
            <v>0</v>
          </cell>
          <cell r="S127">
            <v>0</v>
          </cell>
          <cell r="T127">
            <v>406.20040000000063</v>
          </cell>
          <cell r="U127">
            <v>-3398.2598820000003</v>
          </cell>
          <cell r="V127">
            <v>2600.4053364000001</v>
          </cell>
          <cell r="W127">
            <v>2098.2033532</v>
          </cell>
          <cell r="X127">
            <v>899.65119240000013</v>
          </cell>
          <cell r="Y127">
            <v>0</v>
          </cell>
          <cell r="Z127">
            <v>0</v>
          </cell>
          <cell r="AA127">
            <v>-5598.2598820000003</v>
          </cell>
          <cell r="AB127">
            <v>0</v>
          </cell>
          <cell r="AC127">
            <v>0</v>
          </cell>
          <cell r="AD127">
            <v>0</v>
          </cell>
          <cell r="AE127">
            <v>-0.32000000000000739</v>
          </cell>
          <cell r="AF127">
            <v>0</v>
          </cell>
          <cell r="AG127" t="e">
            <v>#N/A</v>
          </cell>
          <cell r="AH127" t="e">
            <v>#N/A</v>
          </cell>
        </row>
        <row r="128">
          <cell r="A128" t="str">
            <v>DHXP</v>
          </cell>
          <cell r="B128" t="str">
            <v>P</v>
          </cell>
          <cell r="C128" t="str">
            <v>DHX</v>
          </cell>
          <cell r="D128" t="str">
            <v>DASH8-AUTRES</v>
          </cell>
          <cell r="E128">
            <v>200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234.74400000000003</v>
          </cell>
          <cell r="P128">
            <v>234.74400000000003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-234.74400000000003</v>
          </cell>
          <cell r="V128">
            <v>118.404</v>
          </cell>
          <cell r="W128">
            <v>116.34</v>
          </cell>
          <cell r="X128">
            <v>0</v>
          </cell>
          <cell r="Y128">
            <v>0</v>
          </cell>
          <cell r="Z128">
            <v>0</v>
          </cell>
          <cell r="AA128">
            <v>-234.74400000000003</v>
          </cell>
          <cell r="AB128">
            <v>0</v>
          </cell>
          <cell r="AC128">
            <v>0</v>
          </cell>
          <cell r="AD128">
            <v>0</v>
          </cell>
          <cell r="AE128">
            <v>-34.744000000000028</v>
          </cell>
          <cell r="AF128">
            <v>0</v>
          </cell>
          <cell r="AG128" t="e">
            <v>#N/A</v>
          </cell>
          <cell r="AH128" t="e">
            <v>#N/A</v>
          </cell>
        </row>
        <row r="129">
          <cell r="A129" t="str">
            <v>DIHP</v>
          </cell>
          <cell r="B129" t="str">
            <v>P</v>
          </cell>
          <cell r="C129" t="str">
            <v>DIH</v>
          </cell>
          <cell r="D129" t="str">
            <v>TRVX POUR IHM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3000</v>
          </cell>
          <cell r="O129">
            <v>1498.7939454360001</v>
          </cell>
          <cell r="P129">
            <v>1498.7939454360001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1501.2060545639999</v>
          </cell>
          <cell r="V129">
            <v>499.81977676800011</v>
          </cell>
          <cell r="W129">
            <v>499.4993170776001</v>
          </cell>
          <cell r="X129">
            <v>499.47485159040014</v>
          </cell>
          <cell r="Y129">
            <v>0</v>
          </cell>
          <cell r="Z129">
            <v>0</v>
          </cell>
          <cell r="AA129">
            <v>-1498.7939454360001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 t="e">
            <v>#N/A</v>
          </cell>
          <cell r="AH129" t="e">
            <v>#N/A</v>
          </cell>
        </row>
        <row r="130">
          <cell r="A130" t="str">
            <v>DSUP</v>
          </cell>
          <cell r="B130" t="str">
            <v>P</v>
          </cell>
          <cell r="C130" t="str">
            <v>DSU</v>
          </cell>
          <cell r="D130" t="str">
            <v>DIVERS SSU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6785.76</v>
          </cell>
          <cell r="P130">
            <v>6785.76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-6785.76</v>
          </cell>
          <cell r="V130">
            <v>2229.7600000000002</v>
          </cell>
          <cell r="W130">
            <v>2261.92</v>
          </cell>
          <cell r="X130">
            <v>2294.08</v>
          </cell>
          <cell r="Y130">
            <v>0</v>
          </cell>
          <cell r="Z130">
            <v>0</v>
          </cell>
          <cell r="AA130">
            <v>-6785.76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 t="e">
            <v>#N/A</v>
          </cell>
          <cell r="AH130" t="e">
            <v>#N/A</v>
          </cell>
        </row>
        <row r="131">
          <cell r="A131" t="str">
            <v>DTSP</v>
          </cell>
          <cell r="B131" t="str">
            <v>P</v>
          </cell>
          <cell r="C131" t="str">
            <v>DTS</v>
          </cell>
          <cell r="D131" t="str">
            <v>DIVERS ATS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5000</v>
          </cell>
          <cell r="O131">
            <v>3942.4357732155618</v>
          </cell>
          <cell r="P131">
            <v>3942.4357732155618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1057.5642267844382</v>
          </cell>
          <cell r="V131">
            <v>0</v>
          </cell>
          <cell r="W131">
            <v>1971.1767133454405</v>
          </cell>
          <cell r="X131">
            <v>1971.2590598701204</v>
          </cell>
          <cell r="Y131">
            <v>0</v>
          </cell>
          <cell r="Z131">
            <v>0</v>
          </cell>
          <cell r="AA131">
            <v>-3942.4357732155618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e">
            <v>#N/A</v>
          </cell>
          <cell r="AH131" t="e">
            <v>#N/A</v>
          </cell>
        </row>
        <row r="132">
          <cell r="A132" t="str">
            <v>EAAP</v>
          </cell>
          <cell r="B132" t="str">
            <v>P</v>
          </cell>
          <cell r="C132" t="str">
            <v>EAA</v>
          </cell>
          <cell r="D132" t="str">
            <v>ETUDES AAE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14700</v>
          </cell>
          <cell r="O132">
            <v>11444.211037587202</v>
          </cell>
          <cell r="P132">
            <v>11444.211037587202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3255.7889624127984</v>
          </cell>
          <cell r="V132">
            <v>4070.8160000000003</v>
          </cell>
          <cell r="W132">
            <v>3787.2209825152004</v>
          </cell>
          <cell r="X132">
            <v>3586.1740550720006</v>
          </cell>
          <cell r="Y132">
            <v>0</v>
          </cell>
          <cell r="Z132">
            <v>0</v>
          </cell>
          <cell r="AA132">
            <v>-11444.211037587202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 t="e">
            <v>#N/A</v>
          </cell>
          <cell r="AH132" t="e">
            <v>#N/A</v>
          </cell>
        </row>
        <row r="133">
          <cell r="A133" t="str">
            <v>EAPP</v>
          </cell>
          <cell r="B133" t="str">
            <v>P</v>
          </cell>
          <cell r="C133" t="str">
            <v>EAP</v>
          </cell>
          <cell r="D133" t="str">
            <v>ETUDES APN</v>
          </cell>
          <cell r="E133">
            <v>3652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37394</v>
          </cell>
          <cell r="O133">
            <v>31672.902544006884</v>
          </cell>
          <cell r="P133">
            <v>31673.051344006883</v>
          </cell>
          <cell r="Q133">
            <v>0</v>
          </cell>
          <cell r="R133">
            <v>0</v>
          </cell>
          <cell r="S133">
            <v>0</v>
          </cell>
          <cell r="T133">
            <v>-0.14879999999902793</v>
          </cell>
          <cell r="U133">
            <v>5720.9486559931174</v>
          </cell>
          <cell r="V133">
            <v>6400.9315247712011</v>
          </cell>
          <cell r="W133">
            <v>9197.8172713143213</v>
          </cell>
          <cell r="X133">
            <v>12975.542547921365</v>
          </cell>
          <cell r="Y133">
            <v>0</v>
          </cell>
          <cell r="Z133">
            <v>0</v>
          </cell>
          <cell r="AA133">
            <v>-31673.051344006883</v>
          </cell>
          <cell r="AB133">
            <v>0</v>
          </cell>
          <cell r="AC133">
            <v>0</v>
          </cell>
          <cell r="AD133">
            <v>0</v>
          </cell>
          <cell r="AE133">
            <v>1236.1846</v>
          </cell>
          <cell r="AF133">
            <v>-0.19440000000031432</v>
          </cell>
          <cell r="AG133" t="e">
            <v>#N/A</v>
          </cell>
          <cell r="AH133" t="e">
            <v>#N/A</v>
          </cell>
        </row>
        <row r="134">
          <cell r="A134" t="str">
            <v>EARP</v>
          </cell>
          <cell r="B134" t="str">
            <v>P</v>
          </cell>
          <cell r="C134" t="str">
            <v>EAR</v>
          </cell>
          <cell r="D134" t="str">
            <v>ETUDES ARA</v>
          </cell>
          <cell r="E134">
            <v>1500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4200</v>
          </cell>
          <cell r="O134">
            <v>61639.917524800003</v>
          </cell>
          <cell r="P134">
            <v>61639.916622511599</v>
          </cell>
          <cell r="Q134">
            <v>0</v>
          </cell>
          <cell r="R134">
            <v>0</v>
          </cell>
          <cell r="S134">
            <v>0</v>
          </cell>
          <cell r="T134">
            <v>9.02288404176943E-4</v>
          </cell>
          <cell r="U134">
            <v>-57439.916622511599</v>
          </cell>
          <cell r="V134">
            <v>12390.661512832801</v>
          </cell>
          <cell r="W134">
            <v>26184.389759951522</v>
          </cell>
          <cell r="X134">
            <v>23064.865349727286</v>
          </cell>
          <cell r="Y134">
            <v>0</v>
          </cell>
          <cell r="Z134">
            <v>0</v>
          </cell>
          <cell r="AA134">
            <v>-61639.916622511599</v>
          </cell>
          <cell r="AB134">
            <v>0</v>
          </cell>
          <cell r="AC134">
            <v>0</v>
          </cell>
          <cell r="AD134">
            <v>0</v>
          </cell>
          <cell r="AE134">
            <v>-6.1014999999999873</v>
          </cell>
          <cell r="AF134">
            <v>9.0228840394956933E-4</v>
          </cell>
          <cell r="AG134" t="e">
            <v>#N/A</v>
          </cell>
          <cell r="AH134" t="e">
            <v>#N/A</v>
          </cell>
        </row>
        <row r="135">
          <cell r="A135" t="str">
            <v>GEXP</v>
          </cell>
          <cell r="B135" t="str">
            <v>P</v>
          </cell>
          <cell r="C135" t="str">
            <v>GEX</v>
          </cell>
          <cell r="D135" t="str">
            <v>GEX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1100</v>
          </cell>
          <cell r="O135">
            <v>1700.1694079369045</v>
          </cell>
          <cell r="P135">
            <v>1700.1694079369045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-600.16940793690446</v>
          </cell>
          <cell r="V135">
            <v>700.788737437024</v>
          </cell>
          <cell r="W135">
            <v>499.76252174682406</v>
          </cell>
          <cell r="X135">
            <v>499.61814875305612</v>
          </cell>
          <cell r="Y135">
            <v>0</v>
          </cell>
          <cell r="Z135">
            <v>0</v>
          </cell>
          <cell r="AA135">
            <v>-1700.1694079369045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 t="e">
            <v>#N/A</v>
          </cell>
          <cell r="AH135" t="e">
            <v>#N/A</v>
          </cell>
        </row>
        <row r="136">
          <cell r="A136" t="str">
            <v>HELP</v>
          </cell>
          <cell r="B136" t="str">
            <v>P</v>
          </cell>
          <cell r="C136" t="str">
            <v>HEL</v>
          </cell>
          <cell r="D136" t="str">
            <v>RAO HEL</v>
          </cell>
          <cell r="E136">
            <v>0</v>
          </cell>
          <cell r="F136">
            <v>0</v>
          </cell>
          <cell r="G136">
            <v>0</v>
          </cell>
          <cell r="H136">
            <v>104.28399999999999</v>
          </cell>
          <cell r="I136">
            <v>34.652000000000001</v>
          </cell>
          <cell r="J136">
            <v>0</v>
          </cell>
          <cell r="K136">
            <v>34.652000000000001</v>
          </cell>
          <cell r="L136">
            <v>69.631999999999991</v>
          </cell>
          <cell r="M136">
            <v>-34.652000000000001</v>
          </cell>
          <cell r="N136">
            <v>300</v>
          </cell>
          <cell r="O136">
            <v>1042.4380000000001</v>
          </cell>
          <cell r="P136">
            <v>972.80600000000004</v>
          </cell>
          <cell r="Q136">
            <v>0</v>
          </cell>
          <cell r="R136">
            <v>0</v>
          </cell>
          <cell r="S136">
            <v>34.652000000000001</v>
          </cell>
          <cell r="T136">
            <v>69.632000000000062</v>
          </cell>
          <cell r="U136">
            <v>-672.80600000000004</v>
          </cell>
          <cell r="V136">
            <v>317.45999999999998</v>
          </cell>
          <cell r="W136">
            <v>308.142</v>
          </cell>
          <cell r="X136">
            <v>312.55200000000002</v>
          </cell>
          <cell r="Y136">
            <v>300</v>
          </cell>
          <cell r="Z136">
            <v>0</v>
          </cell>
          <cell r="AA136">
            <v>-672.80600000000004</v>
          </cell>
          <cell r="AB136">
            <v>34.652000000000001</v>
          </cell>
          <cell r="AC136">
            <v>34.652000000000001</v>
          </cell>
          <cell r="AD136">
            <v>0</v>
          </cell>
          <cell r="AE136">
            <v>0</v>
          </cell>
          <cell r="AF136">
            <v>69.632000000000062</v>
          </cell>
          <cell r="AG136" t="e">
            <v>#N/A</v>
          </cell>
          <cell r="AH136" t="e">
            <v>#N/A</v>
          </cell>
        </row>
        <row r="137">
          <cell r="A137" t="str">
            <v>MIRP</v>
          </cell>
          <cell r="B137" t="str">
            <v>P</v>
          </cell>
          <cell r="C137" t="str">
            <v>MIR</v>
          </cell>
          <cell r="D137" t="str">
            <v>MIRAGE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7400</v>
          </cell>
          <cell r="O137">
            <v>9699.1549724167999</v>
          </cell>
          <cell r="P137">
            <v>9699.1549724167999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-2299.1549724167999</v>
          </cell>
          <cell r="V137">
            <v>2312.8560000000002</v>
          </cell>
          <cell r="W137">
            <v>3092.9261056711998</v>
          </cell>
          <cell r="X137">
            <v>4293.3728667456007</v>
          </cell>
          <cell r="Y137">
            <v>0</v>
          </cell>
          <cell r="Z137">
            <v>0</v>
          </cell>
          <cell r="AA137">
            <v>-9699.1549724167999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e">
            <v>#N/A</v>
          </cell>
          <cell r="AH137" t="e">
            <v>#N/A</v>
          </cell>
        </row>
        <row r="138">
          <cell r="A138" t="str">
            <v>NH9P</v>
          </cell>
          <cell r="B138" t="str">
            <v>P</v>
          </cell>
          <cell r="C138" t="str">
            <v>NH9</v>
          </cell>
          <cell r="D138" t="str">
            <v>NH90</v>
          </cell>
          <cell r="E138">
            <v>980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9800</v>
          </cell>
          <cell r="O138">
            <v>11664.582089616842</v>
          </cell>
          <cell r="P138">
            <v>10787.944138456842</v>
          </cell>
          <cell r="Q138">
            <v>0</v>
          </cell>
          <cell r="R138">
            <v>0</v>
          </cell>
          <cell r="S138">
            <v>0</v>
          </cell>
          <cell r="T138">
            <v>876.63795116000074</v>
          </cell>
          <cell r="U138">
            <v>-987.94413845684176</v>
          </cell>
          <cell r="V138">
            <v>0</v>
          </cell>
          <cell r="W138">
            <v>3734.3359174497605</v>
          </cell>
          <cell r="X138">
            <v>3742.3961079989595</v>
          </cell>
          <cell r="Y138">
            <v>0</v>
          </cell>
          <cell r="Z138">
            <v>0</v>
          </cell>
          <cell r="AA138">
            <v>-10787.944138456842</v>
          </cell>
          <cell r="AB138">
            <v>0</v>
          </cell>
          <cell r="AC138">
            <v>0</v>
          </cell>
          <cell r="AD138">
            <v>0</v>
          </cell>
          <cell r="AE138">
            <v>0.51440000000002328</v>
          </cell>
          <cell r="AF138">
            <v>876.63795116000074</v>
          </cell>
          <cell r="AG138" t="e">
            <v>#N/A</v>
          </cell>
          <cell r="AH138" t="e">
            <v>#N/A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</row>
        <row r="140">
          <cell r="A140" t="str">
            <v>NMRP</v>
          </cell>
          <cell r="B140" t="str">
            <v>P</v>
          </cell>
          <cell r="C140" t="str">
            <v>NMR</v>
          </cell>
          <cell r="D140" t="str">
            <v>NIMROD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2198.2211717015998</v>
          </cell>
          <cell r="P140">
            <v>2198.2211717015998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-2198.2211717015998</v>
          </cell>
          <cell r="V140">
            <v>699.74768697600018</v>
          </cell>
          <cell r="W140">
            <v>998.99863364880014</v>
          </cell>
          <cell r="X140">
            <v>499.47485107680006</v>
          </cell>
          <cell r="Y140">
            <v>0</v>
          </cell>
          <cell r="Z140">
            <v>0</v>
          </cell>
          <cell r="AA140">
            <v>-2198.2211717015998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 t="e">
            <v>#N/A</v>
          </cell>
          <cell r="AH140" t="e">
            <v>#N/A</v>
          </cell>
        </row>
        <row r="141">
          <cell r="A141" t="str">
            <v>OBSP</v>
          </cell>
          <cell r="B141" t="str">
            <v>P</v>
          </cell>
          <cell r="C141" t="str">
            <v>OBS</v>
          </cell>
          <cell r="D141" t="str">
            <v>OBSOLESCENCE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500</v>
          </cell>
          <cell r="O141">
            <v>503.5185032</v>
          </cell>
          <cell r="P141">
            <v>503.5185032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-3.5185031999999978</v>
          </cell>
          <cell r="V141">
            <v>503.5185032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-503.5185032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 t="e">
            <v>#N/A</v>
          </cell>
          <cell r="AH141" t="e">
            <v>#N/A</v>
          </cell>
        </row>
        <row r="142">
          <cell r="A142" t="str">
            <v>ID3N</v>
          </cell>
          <cell r="B142" t="str">
            <v>N</v>
          </cell>
          <cell r="C142" t="str">
            <v>ID3</v>
          </cell>
          <cell r="D142" t="str">
            <v>IDEE3</v>
          </cell>
        </row>
      </sheetData>
      <sheetData sheetId="1" refreshError="1">
        <row r="5">
          <cell r="B5" t="str">
            <v>12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T_0105"/>
      <sheetName val="Feuil2"/>
    </sheetNames>
    <sheetDataSet>
      <sheetData sheetId="0" refreshError="1"/>
      <sheetData sheetId="1" refreshError="1">
        <row r="3">
          <cell r="A3" t="str">
            <v>Formule</v>
          </cell>
          <cell r="B3" t="str">
            <v>FLOT_CODE</v>
          </cell>
          <cell r="C3" t="str">
            <v>FLOT_DMAJ</v>
          </cell>
        </row>
        <row r="4">
          <cell r="A4" t="str">
            <v>Fwp Co Ut</v>
          </cell>
          <cell r="B4" t="str">
            <v>Fwp Code Ut</v>
          </cell>
          <cell r="C4" t="str">
            <v>Fdate Maj Ut</v>
          </cell>
        </row>
        <row r="5">
          <cell r="A5" t="str">
            <v>100000 01</v>
          </cell>
          <cell r="B5">
            <v>10000001</v>
          </cell>
          <cell r="C5">
            <v>37535</v>
          </cell>
        </row>
        <row r="6">
          <cell r="A6" t="str">
            <v>100001 01</v>
          </cell>
          <cell r="B6">
            <v>10000101</v>
          </cell>
          <cell r="C6">
            <v>37535</v>
          </cell>
        </row>
        <row r="7">
          <cell r="A7" t="str">
            <v>100001 02</v>
          </cell>
          <cell r="B7">
            <v>10000102</v>
          </cell>
          <cell r="C7">
            <v>37535</v>
          </cell>
        </row>
        <row r="8">
          <cell r="A8" t="str">
            <v>100001 03</v>
          </cell>
          <cell r="B8">
            <v>10000103</v>
          </cell>
          <cell r="C8">
            <v>37535</v>
          </cell>
        </row>
        <row r="9">
          <cell r="A9" t="str">
            <v>100002 01</v>
          </cell>
          <cell r="B9">
            <v>10000201</v>
          </cell>
          <cell r="C9">
            <v>37535</v>
          </cell>
        </row>
        <row r="10">
          <cell r="A10" t="str">
            <v>100002 02</v>
          </cell>
          <cell r="B10">
            <v>10000202</v>
          </cell>
          <cell r="C10">
            <v>37535</v>
          </cell>
        </row>
        <row r="11">
          <cell r="A11" t="str">
            <v>100003 01</v>
          </cell>
          <cell r="B11">
            <v>10000301</v>
          </cell>
          <cell r="C11">
            <v>37535</v>
          </cell>
        </row>
        <row r="12">
          <cell r="A12" t="str">
            <v>100003 02</v>
          </cell>
          <cell r="B12">
            <v>10000302</v>
          </cell>
          <cell r="C12">
            <v>37535</v>
          </cell>
        </row>
        <row r="13">
          <cell r="A13" t="str">
            <v>100003 03</v>
          </cell>
          <cell r="B13">
            <v>10000303</v>
          </cell>
          <cell r="C13">
            <v>37535</v>
          </cell>
        </row>
        <row r="14">
          <cell r="A14" t="str">
            <v>100004 01</v>
          </cell>
          <cell r="B14">
            <v>10000401</v>
          </cell>
          <cell r="C14">
            <v>37535</v>
          </cell>
        </row>
        <row r="15">
          <cell r="A15" t="str">
            <v>100005 01</v>
          </cell>
          <cell r="B15">
            <v>10000501</v>
          </cell>
          <cell r="C15">
            <v>37535</v>
          </cell>
        </row>
        <row r="16">
          <cell r="A16" t="str">
            <v>100006 01</v>
          </cell>
          <cell r="B16">
            <v>10000601</v>
          </cell>
          <cell r="C16">
            <v>37535</v>
          </cell>
        </row>
        <row r="17">
          <cell r="A17" t="str">
            <v>100007 01</v>
          </cell>
          <cell r="B17">
            <v>10000701</v>
          </cell>
          <cell r="C17">
            <v>37535</v>
          </cell>
        </row>
        <row r="18">
          <cell r="A18" t="str">
            <v>100010 01</v>
          </cell>
          <cell r="B18">
            <v>10001001</v>
          </cell>
          <cell r="C18">
            <v>37535</v>
          </cell>
        </row>
        <row r="19">
          <cell r="A19" t="str">
            <v>100011 01</v>
          </cell>
          <cell r="B19">
            <v>10001101</v>
          </cell>
          <cell r="C19">
            <v>37535</v>
          </cell>
        </row>
        <row r="20">
          <cell r="A20" t="str">
            <v>100012 01</v>
          </cell>
          <cell r="B20">
            <v>10001201</v>
          </cell>
          <cell r="C20">
            <v>37535</v>
          </cell>
        </row>
        <row r="21">
          <cell r="A21" t="str">
            <v>100012 02</v>
          </cell>
          <cell r="B21">
            <v>10001202</v>
          </cell>
          <cell r="C21">
            <v>37535</v>
          </cell>
        </row>
        <row r="22">
          <cell r="A22" t="str">
            <v>100012 03</v>
          </cell>
          <cell r="B22">
            <v>10001203</v>
          </cell>
          <cell r="C22">
            <v>37535</v>
          </cell>
        </row>
        <row r="23">
          <cell r="A23" t="str">
            <v>100013 01</v>
          </cell>
          <cell r="B23">
            <v>10001301</v>
          </cell>
          <cell r="C23">
            <v>37535</v>
          </cell>
        </row>
        <row r="24">
          <cell r="A24" t="str">
            <v>100014 01</v>
          </cell>
          <cell r="B24">
            <v>10001401</v>
          </cell>
          <cell r="C24">
            <v>37535</v>
          </cell>
        </row>
        <row r="25">
          <cell r="A25" t="str">
            <v>100015 01</v>
          </cell>
          <cell r="B25">
            <v>10001501</v>
          </cell>
          <cell r="C25">
            <v>37535</v>
          </cell>
        </row>
        <row r="26">
          <cell r="A26" t="str">
            <v>100016 01</v>
          </cell>
          <cell r="B26">
            <v>10001601</v>
          </cell>
          <cell r="C26">
            <v>37535</v>
          </cell>
        </row>
        <row r="27">
          <cell r="A27" t="str">
            <v>100023 01</v>
          </cell>
          <cell r="B27">
            <v>10002301</v>
          </cell>
          <cell r="C27">
            <v>37535</v>
          </cell>
        </row>
        <row r="28">
          <cell r="A28" t="str">
            <v>100031 01</v>
          </cell>
          <cell r="B28">
            <v>10003101</v>
          </cell>
          <cell r="C28">
            <v>37535</v>
          </cell>
        </row>
        <row r="29">
          <cell r="A29" t="str">
            <v>100032 01</v>
          </cell>
          <cell r="B29">
            <v>10003201</v>
          </cell>
          <cell r="C29">
            <v>37535</v>
          </cell>
        </row>
        <row r="30">
          <cell r="A30" t="str">
            <v>100033 01</v>
          </cell>
          <cell r="B30">
            <v>10003301</v>
          </cell>
          <cell r="C30">
            <v>37535</v>
          </cell>
        </row>
        <row r="31">
          <cell r="A31" t="str">
            <v>100035 01</v>
          </cell>
          <cell r="B31">
            <v>10003501</v>
          </cell>
          <cell r="C31">
            <v>37535</v>
          </cell>
        </row>
        <row r="32">
          <cell r="A32" t="str">
            <v>100035 02</v>
          </cell>
          <cell r="B32">
            <v>10003502</v>
          </cell>
          <cell r="C32">
            <v>37535</v>
          </cell>
        </row>
        <row r="33">
          <cell r="A33" t="str">
            <v>100035 06</v>
          </cell>
          <cell r="B33">
            <v>10003506</v>
          </cell>
          <cell r="C33">
            <v>37535</v>
          </cell>
        </row>
        <row r="34">
          <cell r="A34" t="str">
            <v>100037 01</v>
          </cell>
          <cell r="B34">
            <v>10003701</v>
          </cell>
          <cell r="C34">
            <v>37535</v>
          </cell>
        </row>
        <row r="35">
          <cell r="A35" t="str">
            <v>100041 01</v>
          </cell>
          <cell r="B35">
            <v>10004101</v>
          </cell>
          <cell r="C35">
            <v>37535</v>
          </cell>
        </row>
        <row r="36">
          <cell r="A36" t="str">
            <v>100051 01</v>
          </cell>
          <cell r="B36">
            <v>10005101</v>
          </cell>
          <cell r="C36">
            <v>37535</v>
          </cell>
        </row>
        <row r="37">
          <cell r="A37" t="str">
            <v>100054 01</v>
          </cell>
          <cell r="B37">
            <v>10005401</v>
          </cell>
          <cell r="C37">
            <v>37535</v>
          </cell>
        </row>
        <row r="38">
          <cell r="A38" t="str">
            <v>100055 01</v>
          </cell>
          <cell r="B38">
            <v>10005501</v>
          </cell>
          <cell r="C38">
            <v>37535</v>
          </cell>
        </row>
        <row r="39">
          <cell r="A39" t="str">
            <v>100062 01</v>
          </cell>
          <cell r="B39">
            <v>10006201</v>
          </cell>
          <cell r="C39">
            <v>37535</v>
          </cell>
        </row>
        <row r="40">
          <cell r="A40" t="str">
            <v>100068 01</v>
          </cell>
          <cell r="B40">
            <v>10006801</v>
          </cell>
          <cell r="C40">
            <v>37535</v>
          </cell>
        </row>
        <row r="41">
          <cell r="A41" t="str">
            <v>100075 01</v>
          </cell>
          <cell r="B41">
            <v>10007501</v>
          </cell>
          <cell r="C41">
            <v>37535</v>
          </cell>
        </row>
        <row r="42">
          <cell r="A42" t="str">
            <v>100075 02</v>
          </cell>
          <cell r="B42">
            <v>10007502</v>
          </cell>
          <cell r="C42">
            <v>37535</v>
          </cell>
        </row>
        <row r="43">
          <cell r="A43" t="str">
            <v>100075 03</v>
          </cell>
          <cell r="B43">
            <v>10007503</v>
          </cell>
          <cell r="C43">
            <v>37535</v>
          </cell>
        </row>
        <row r="44">
          <cell r="A44" t="str">
            <v>100075 04</v>
          </cell>
          <cell r="B44">
            <v>10007504</v>
          </cell>
          <cell r="C44">
            <v>37535</v>
          </cell>
        </row>
        <row r="45">
          <cell r="A45" t="str">
            <v>100083 01</v>
          </cell>
          <cell r="B45">
            <v>10008301</v>
          </cell>
          <cell r="C45">
            <v>37535</v>
          </cell>
        </row>
        <row r="46">
          <cell r="A46" t="str">
            <v>100096 01</v>
          </cell>
          <cell r="B46">
            <v>10009601</v>
          </cell>
          <cell r="C46">
            <v>37535</v>
          </cell>
        </row>
        <row r="47">
          <cell r="A47" t="str">
            <v>100098 01</v>
          </cell>
          <cell r="B47">
            <v>10009801</v>
          </cell>
          <cell r="C47">
            <v>37535</v>
          </cell>
        </row>
        <row r="48">
          <cell r="A48" t="str">
            <v>100098 02</v>
          </cell>
          <cell r="B48">
            <v>10009802</v>
          </cell>
          <cell r="C48">
            <v>37535</v>
          </cell>
        </row>
        <row r="49">
          <cell r="A49" t="str">
            <v>100100 01</v>
          </cell>
          <cell r="B49">
            <v>10010001</v>
          </cell>
          <cell r="C49">
            <v>37535</v>
          </cell>
        </row>
        <row r="50">
          <cell r="A50" t="str">
            <v>100101 01</v>
          </cell>
          <cell r="B50">
            <v>10010101</v>
          </cell>
          <cell r="C50">
            <v>37535</v>
          </cell>
        </row>
        <row r="51">
          <cell r="A51" t="str">
            <v>100109 01</v>
          </cell>
          <cell r="B51">
            <v>10010901</v>
          </cell>
          <cell r="C51">
            <v>37535</v>
          </cell>
        </row>
        <row r="52">
          <cell r="A52" t="str">
            <v>100110 01</v>
          </cell>
          <cell r="B52">
            <v>10011001</v>
          </cell>
          <cell r="C52">
            <v>37535</v>
          </cell>
        </row>
        <row r="53">
          <cell r="A53" t="str">
            <v>100111 01</v>
          </cell>
          <cell r="B53">
            <v>10011101</v>
          </cell>
          <cell r="C53">
            <v>37535</v>
          </cell>
        </row>
        <row r="54">
          <cell r="A54" t="str">
            <v>100112 01</v>
          </cell>
          <cell r="B54">
            <v>10011201</v>
          </cell>
          <cell r="C54">
            <v>37535</v>
          </cell>
        </row>
        <row r="55">
          <cell r="A55" t="str">
            <v>100112 02</v>
          </cell>
          <cell r="B55">
            <v>10011202</v>
          </cell>
          <cell r="C55">
            <v>37535</v>
          </cell>
        </row>
        <row r="56">
          <cell r="A56" t="str">
            <v>100136 01</v>
          </cell>
          <cell r="B56">
            <v>10013601</v>
          </cell>
          <cell r="C56">
            <v>37535</v>
          </cell>
        </row>
        <row r="57">
          <cell r="A57" t="str">
            <v>100171 01</v>
          </cell>
          <cell r="B57">
            <v>10017101</v>
          </cell>
          <cell r="C57">
            <v>37535</v>
          </cell>
        </row>
        <row r="58">
          <cell r="A58" t="str">
            <v>100186 01</v>
          </cell>
          <cell r="B58">
            <v>10018601</v>
          </cell>
          <cell r="C58">
            <v>37535</v>
          </cell>
        </row>
        <row r="59">
          <cell r="A59" t="str">
            <v>100218 01</v>
          </cell>
          <cell r="B59">
            <v>10021801</v>
          </cell>
          <cell r="C59">
            <v>37535</v>
          </cell>
        </row>
        <row r="60">
          <cell r="A60" t="str">
            <v>100250 01</v>
          </cell>
          <cell r="B60">
            <v>10025001</v>
          </cell>
          <cell r="C60">
            <v>37535</v>
          </cell>
        </row>
        <row r="61">
          <cell r="A61" t="str">
            <v>100388 01</v>
          </cell>
          <cell r="B61">
            <v>10038801</v>
          </cell>
          <cell r="C61">
            <v>37535</v>
          </cell>
        </row>
        <row r="62">
          <cell r="A62" t="str">
            <v>100388 02</v>
          </cell>
          <cell r="B62">
            <v>10038802</v>
          </cell>
          <cell r="C62">
            <v>37535</v>
          </cell>
        </row>
        <row r="63">
          <cell r="A63" t="str">
            <v>100388 03</v>
          </cell>
          <cell r="B63">
            <v>10038803</v>
          </cell>
          <cell r="C63">
            <v>37535</v>
          </cell>
        </row>
        <row r="64">
          <cell r="A64" t="str">
            <v>100392 01</v>
          </cell>
          <cell r="B64">
            <v>10039201</v>
          </cell>
          <cell r="C64">
            <v>37535</v>
          </cell>
        </row>
        <row r="65">
          <cell r="A65" t="str">
            <v>100403 01</v>
          </cell>
          <cell r="B65">
            <v>10040301</v>
          </cell>
          <cell r="C65">
            <v>37535</v>
          </cell>
        </row>
        <row r="66">
          <cell r="A66" t="str">
            <v>100428 01</v>
          </cell>
          <cell r="B66">
            <v>10042801</v>
          </cell>
          <cell r="C66">
            <v>37535</v>
          </cell>
        </row>
        <row r="67">
          <cell r="A67" t="str">
            <v>100430 01</v>
          </cell>
          <cell r="B67">
            <v>10043001</v>
          </cell>
          <cell r="C67">
            <v>37535</v>
          </cell>
        </row>
        <row r="68">
          <cell r="A68" t="str">
            <v>100434 01</v>
          </cell>
          <cell r="B68">
            <v>10043401</v>
          </cell>
          <cell r="C68">
            <v>37535</v>
          </cell>
        </row>
        <row r="69">
          <cell r="A69" t="str">
            <v>100435 01</v>
          </cell>
          <cell r="B69">
            <v>10043501</v>
          </cell>
          <cell r="C69">
            <v>37535</v>
          </cell>
        </row>
        <row r="70">
          <cell r="A70" t="str">
            <v>100438 01</v>
          </cell>
          <cell r="B70">
            <v>10043801</v>
          </cell>
          <cell r="C70">
            <v>37535</v>
          </cell>
        </row>
        <row r="71">
          <cell r="A71" t="str">
            <v>100438 02</v>
          </cell>
          <cell r="B71">
            <v>10043802</v>
          </cell>
          <cell r="C71">
            <v>37535</v>
          </cell>
        </row>
        <row r="72">
          <cell r="A72" t="str">
            <v>100438 03</v>
          </cell>
          <cell r="B72">
            <v>10043803</v>
          </cell>
          <cell r="C72">
            <v>37535</v>
          </cell>
        </row>
        <row r="73">
          <cell r="A73" t="str">
            <v>100499 01</v>
          </cell>
          <cell r="B73">
            <v>10049901</v>
          </cell>
          <cell r="C73">
            <v>37535</v>
          </cell>
        </row>
        <row r="74">
          <cell r="A74" t="str">
            <v>100570 01</v>
          </cell>
          <cell r="B74">
            <v>10057001</v>
          </cell>
          <cell r="C74">
            <v>37535</v>
          </cell>
        </row>
        <row r="75">
          <cell r="A75" t="str">
            <v>100603 01</v>
          </cell>
          <cell r="B75">
            <v>10060301</v>
          </cell>
          <cell r="C75">
            <v>37535</v>
          </cell>
        </row>
        <row r="76">
          <cell r="A76" t="str">
            <v>100615 01</v>
          </cell>
          <cell r="B76">
            <v>10061501</v>
          </cell>
          <cell r="C76">
            <v>37535</v>
          </cell>
        </row>
        <row r="77">
          <cell r="A77" t="str">
            <v>100635 01</v>
          </cell>
          <cell r="B77">
            <v>10063501</v>
          </cell>
          <cell r="C77">
            <v>37535</v>
          </cell>
        </row>
        <row r="78">
          <cell r="A78" t="str">
            <v>100641 01</v>
          </cell>
          <cell r="B78">
            <v>10064101</v>
          </cell>
          <cell r="C78">
            <v>37535</v>
          </cell>
        </row>
        <row r="79">
          <cell r="A79" t="str">
            <v>100641 02</v>
          </cell>
          <cell r="B79">
            <v>10064102</v>
          </cell>
          <cell r="C79">
            <v>37535</v>
          </cell>
        </row>
        <row r="80">
          <cell r="A80" t="str">
            <v>100642 01</v>
          </cell>
          <cell r="B80">
            <v>10064201</v>
          </cell>
          <cell r="C80">
            <v>37535</v>
          </cell>
        </row>
        <row r="81">
          <cell r="A81" t="str">
            <v>100646 01</v>
          </cell>
          <cell r="B81">
            <v>10064601</v>
          </cell>
          <cell r="C81">
            <v>37535</v>
          </cell>
        </row>
        <row r="82">
          <cell r="A82" t="str">
            <v>100665 01</v>
          </cell>
          <cell r="B82">
            <v>10066501</v>
          </cell>
          <cell r="C82">
            <v>37535</v>
          </cell>
        </row>
        <row r="83">
          <cell r="A83" t="str">
            <v>100675 02</v>
          </cell>
          <cell r="B83">
            <v>10067502</v>
          </cell>
          <cell r="C83">
            <v>37535</v>
          </cell>
        </row>
        <row r="84">
          <cell r="A84" t="str">
            <v>100779 01</v>
          </cell>
          <cell r="B84">
            <v>10077901</v>
          </cell>
          <cell r="C84">
            <v>37535</v>
          </cell>
        </row>
        <row r="85">
          <cell r="A85" t="str">
            <v>100959 01</v>
          </cell>
          <cell r="B85">
            <v>10095901</v>
          </cell>
          <cell r="C85">
            <v>37535</v>
          </cell>
        </row>
        <row r="86">
          <cell r="A86" t="str">
            <v>100959 02</v>
          </cell>
          <cell r="B86">
            <v>10095902</v>
          </cell>
          <cell r="C86">
            <v>37535</v>
          </cell>
        </row>
        <row r="87">
          <cell r="A87" t="str">
            <v>100959 03</v>
          </cell>
          <cell r="B87">
            <v>10095903</v>
          </cell>
          <cell r="C87">
            <v>37535</v>
          </cell>
        </row>
        <row r="88">
          <cell r="A88" t="str">
            <v>100959 04</v>
          </cell>
          <cell r="B88">
            <v>10095904</v>
          </cell>
          <cell r="C88">
            <v>37535</v>
          </cell>
        </row>
        <row r="89">
          <cell r="A89" t="str">
            <v>100959 05</v>
          </cell>
          <cell r="B89">
            <v>10095905</v>
          </cell>
          <cell r="C89">
            <v>37535</v>
          </cell>
        </row>
        <row r="90">
          <cell r="A90" t="str">
            <v>100959 06</v>
          </cell>
          <cell r="B90">
            <v>10095906</v>
          </cell>
          <cell r="C90">
            <v>37535</v>
          </cell>
        </row>
        <row r="91">
          <cell r="A91" t="str">
            <v>100959 07</v>
          </cell>
          <cell r="B91">
            <v>10095907</v>
          </cell>
          <cell r="C91">
            <v>37535</v>
          </cell>
        </row>
        <row r="92">
          <cell r="A92" t="str">
            <v>100959 08</v>
          </cell>
          <cell r="B92">
            <v>10095908</v>
          </cell>
          <cell r="C92">
            <v>37535</v>
          </cell>
        </row>
        <row r="93">
          <cell r="A93" t="str">
            <v>100971 01</v>
          </cell>
          <cell r="B93">
            <v>10097101</v>
          </cell>
          <cell r="C93">
            <v>37535</v>
          </cell>
        </row>
        <row r="94">
          <cell r="A94" t="str">
            <v>100972 01</v>
          </cell>
          <cell r="B94">
            <v>10097201</v>
          </cell>
          <cell r="C94">
            <v>37535</v>
          </cell>
        </row>
        <row r="95">
          <cell r="A95" t="str">
            <v>100989 01</v>
          </cell>
          <cell r="B95">
            <v>10098901</v>
          </cell>
          <cell r="C95">
            <v>37535</v>
          </cell>
        </row>
        <row r="96">
          <cell r="A96" t="str">
            <v>100989 02</v>
          </cell>
          <cell r="B96">
            <v>10098902</v>
          </cell>
          <cell r="C96">
            <v>37530</v>
          </cell>
        </row>
        <row r="97">
          <cell r="A97" t="str">
            <v>100989 03</v>
          </cell>
          <cell r="B97">
            <v>10098903</v>
          </cell>
          <cell r="C97">
            <v>37530</v>
          </cell>
        </row>
        <row r="98">
          <cell r="A98" t="str">
            <v>100989 05</v>
          </cell>
          <cell r="B98">
            <v>10098905</v>
          </cell>
          <cell r="C98">
            <v>37535</v>
          </cell>
        </row>
        <row r="99">
          <cell r="A99" t="str">
            <v>100989 08</v>
          </cell>
          <cell r="B99">
            <v>10098908</v>
          </cell>
          <cell r="C99">
            <v>37535</v>
          </cell>
        </row>
        <row r="100">
          <cell r="A100" t="str">
            <v>100989 09</v>
          </cell>
          <cell r="B100">
            <v>10098909</v>
          </cell>
          <cell r="C100">
            <v>37535</v>
          </cell>
        </row>
        <row r="101">
          <cell r="A101" t="str">
            <v>100989 10</v>
          </cell>
          <cell r="B101">
            <v>10098910</v>
          </cell>
          <cell r="C101">
            <v>37530</v>
          </cell>
        </row>
        <row r="102">
          <cell r="A102" t="str">
            <v>100989 11</v>
          </cell>
          <cell r="B102">
            <v>10098911</v>
          </cell>
          <cell r="C102">
            <v>37530</v>
          </cell>
        </row>
        <row r="103">
          <cell r="A103" t="str">
            <v>100989 12</v>
          </cell>
          <cell r="B103">
            <v>10098912</v>
          </cell>
          <cell r="C103">
            <v>37530</v>
          </cell>
        </row>
        <row r="104">
          <cell r="A104" t="str">
            <v>100989 14</v>
          </cell>
          <cell r="B104">
            <v>10098914</v>
          </cell>
          <cell r="C104">
            <v>37535</v>
          </cell>
        </row>
        <row r="105">
          <cell r="A105" t="str">
            <v>101031 01</v>
          </cell>
          <cell r="B105">
            <v>10103101</v>
          </cell>
          <cell r="C105">
            <v>37535</v>
          </cell>
        </row>
        <row r="106">
          <cell r="A106" t="str">
            <v>101042 01</v>
          </cell>
          <cell r="B106">
            <v>10104201</v>
          </cell>
          <cell r="C106">
            <v>37535</v>
          </cell>
        </row>
        <row r="107">
          <cell r="A107" t="str">
            <v>101042 02</v>
          </cell>
          <cell r="B107">
            <v>10104202</v>
          </cell>
          <cell r="C107">
            <v>37535</v>
          </cell>
        </row>
        <row r="108">
          <cell r="A108" t="str">
            <v>101042 03</v>
          </cell>
          <cell r="B108">
            <v>10104203</v>
          </cell>
          <cell r="C108">
            <v>37535</v>
          </cell>
        </row>
        <row r="109">
          <cell r="A109" t="str">
            <v>101042 04</v>
          </cell>
          <cell r="B109">
            <v>10104204</v>
          </cell>
          <cell r="C109">
            <v>37535</v>
          </cell>
        </row>
        <row r="110">
          <cell r="A110" t="str">
            <v>101042 05</v>
          </cell>
          <cell r="B110">
            <v>10104205</v>
          </cell>
          <cell r="C110">
            <v>37535</v>
          </cell>
        </row>
        <row r="111">
          <cell r="A111" t="str">
            <v>101042 06</v>
          </cell>
          <cell r="B111">
            <v>10104206</v>
          </cell>
          <cell r="C111">
            <v>37535</v>
          </cell>
        </row>
        <row r="112">
          <cell r="A112" t="str">
            <v>101042 07</v>
          </cell>
          <cell r="B112">
            <v>10104207</v>
          </cell>
          <cell r="C112">
            <v>37535</v>
          </cell>
        </row>
        <row r="113">
          <cell r="A113" t="str">
            <v>101042 11</v>
          </cell>
          <cell r="B113">
            <v>10104211</v>
          </cell>
          <cell r="C113">
            <v>37535</v>
          </cell>
        </row>
        <row r="114">
          <cell r="A114" t="str">
            <v>101042 12</v>
          </cell>
          <cell r="B114">
            <v>10104212</v>
          </cell>
          <cell r="C114">
            <v>37535</v>
          </cell>
        </row>
        <row r="115">
          <cell r="A115" t="str">
            <v>101047 01</v>
          </cell>
          <cell r="B115">
            <v>10104701</v>
          </cell>
          <cell r="C115">
            <v>37535</v>
          </cell>
        </row>
        <row r="116">
          <cell r="A116" t="str">
            <v>101047 02</v>
          </cell>
          <cell r="B116">
            <v>10104702</v>
          </cell>
          <cell r="C116">
            <v>37535</v>
          </cell>
        </row>
        <row r="117">
          <cell r="A117" t="str">
            <v>101047 03</v>
          </cell>
          <cell r="B117">
            <v>10104703</v>
          </cell>
          <cell r="C117">
            <v>37535</v>
          </cell>
        </row>
        <row r="118">
          <cell r="A118" t="str">
            <v>101047 04</v>
          </cell>
          <cell r="B118">
            <v>10104704</v>
          </cell>
          <cell r="C118">
            <v>37530</v>
          </cell>
        </row>
        <row r="119">
          <cell r="A119" t="str">
            <v>101047 05</v>
          </cell>
          <cell r="B119">
            <v>10104705</v>
          </cell>
          <cell r="C119">
            <v>37530</v>
          </cell>
        </row>
        <row r="120">
          <cell r="A120" t="str">
            <v>101047 06</v>
          </cell>
          <cell r="B120">
            <v>10104706</v>
          </cell>
          <cell r="C120">
            <v>37530</v>
          </cell>
        </row>
        <row r="121">
          <cell r="A121" t="str">
            <v>101047 07</v>
          </cell>
          <cell r="B121">
            <v>10104707</v>
          </cell>
          <cell r="C121">
            <v>37530</v>
          </cell>
        </row>
        <row r="122">
          <cell r="A122" t="str">
            <v>101047 11</v>
          </cell>
          <cell r="B122">
            <v>10104711</v>
          </cell>
          <cell r="C122">
            <v>37535</v>
          </cell>
        </row>
        <row r="123">
          <cell r="A123" t="str">
            <v>101047 12</v>
          </cell>
          <cell r="B123">
            <v>10104712</v>
          </cell>
          <cell r="C123">
            <v>37535</v>
          </cell>
        </row>
        <row r="124">
          <cell r="A124" t="str">
            <v>101047 13</v>
          </cell>
          <cell r="B124">
            <v>10104713</v>
          </cell>
          <cell r="C124">
            <v>37530</v>
          </cell>
        </row>
        <row r="125">
          <cell r="A125" t="str">
            <v>101047 14</v>
          </cell>
          <cell r="B125">
            <v>10104714</v>
          </cell>
          <cell r="C125">
            <v>37530</v>
          </cell>
        </row>
        <row r="126">
          <cell r="A126" t="str">
            <v>101048 01</v>
          </cell>
          <cell r="B126">
            <v>10104801</v>
          </cell>
          <cell r="C126">
            <v>37535</v>
          </cell>
        </row>
        <row r="127">
          <cell r="A127" t="str">
            <v>101088 01</v>
          </cell>
          <cell r="B127">
            <v>10108801</v>
          </cell>
          <cell r="C127">
            <v>37535</v>
          </cell>
        </row>
        <row r="128">
          <cell r="A128" t="str">
            <v>101088 02</v>
          </cell>
          <cell r="B128">
            <v>10108802</v>
          </cell>
          <cell r="C128">
            <v>37535</v>
          </cell>
        </row>
        <row r="129">
          <cell r="A129" t="str">
            <v>101088 03</v>
          </cell>
          <cell r="B129">
            <v>10108803</v>
          </cell>
          <cell r="C129">
            <v>37535</v>
          </cell>
        </row>
        <row r="130">
          <cell r="A130" t="str">
            <v>101088 04</v>
          </cell>
          <cell r="B130">
            <v>10108804</v>
          </cell>
          <cell r="C130">
            <v>37535</v>
          </cell>
        </row>
        <row r="131">
          <cell r="A131" t="str">
            <v>101088 05</v>
          </cell>
          <cell r="B131">
            <v>10108805</v>
          </cell>
          <cell r="C131">
            <v>37535</v>
          </cell>
        </row>
        <row r="132">
          <cell r="A132" t="str">
            <v>101088 06</v>
          </cell>
          <cell r="B132">
            <v>10108806</v>
          </cell>
          <cell r="C132">
            <v>37535</v>
          </cell>
        </row>
        <row r="133">
          <cell r="A133" t="str">
            <v>101088 07</v>
          </cell>
          <cell r="B133">
            <v>10108807</v>
          </cell>
          <cell r="C133">
            <v>37535</v>
          </cell>
        </row>
        <row r="134">
          <cell r="A134" t="str">
            <v>101088 08</v>
          </cell>
          <cell r="B134">
            <v>10108808</v>
          </cell>
          <cell r="C134">
            <v>37535</v>
          </cell>
        </row>
        <row r="135">
          <cell r="A135" t="str">
            <v>101088 09</v>
          </cell>
          <cell r="B135">
            <v>10108809</v>
          </cell>
          <cell r="C135">
            <v>37535</v>
          </cell>
        </row>
        <row r="136">
          <cell r="A136" t="str">
            <v>101091 01</v>
          </cell>
          <cell r="B136">
            <v>10109101</v>
          </cell>
          <cell r="C136">
            <v>37535</v>
          </cell>
        </row>
        <row r="137">
          <cell r="A137" t="str">
            <v>101091 02</v>
          </cell>
          <cell r="B137">
            <v>10109102</v>
          </cell>
          <cell r="C137">
            <v>37535</v>
          </cell>
        </row>
        <row r="138">
          <cell r="A138" t="str">
            <v>101091 03</v>
          </cell>
          <cell r="B138">
            <v>10109103</v>
          </cell>
          <cell r="C138">
            <v>37535</v>
          </cell>
        </row>
        <row r="139">
          <cell r="A139" t="str">
            <v>101091 04</v>
          </cell>
          <cell r="B139">
            <v>10109104</v>
          </cell>
          <cell r="C139">
            <v>37535</v>
          </cell>
        </row>
        <row r="140">
          <cell r="A140" t="str">
            <v>101091 05</v>
          </cell>
          <cell r="B140">
            <v>10109105</v>
          </cell>
          <cell r="C140">
            <v>37535</v>
          </cell>
        </row>
        <row r="141">
          <cell r="A141" t="str">
            <v>101091 06</v>
          </cell>
          <cell r="B141">
            <v>10109106</v>
          </cell>
          <cell r="C141">
            <v>37535</v>
          </cell>
        </row>
        <row r="142">
          <cell r="A142" t="str">
            <v>101091 09</v>
          </cell>
          <cell r="B142">
            <v>10109109</v>
          </cell>
          <cell r="C142">
            <v>37535</v>
          </cell>
        </row>
        <row r="143">
          <cell r="A143" t="str">
            <v>101091 10</v>
          </cell>
          <cell r="B143">
            <v>10109110</v>
          </cell>
          <cell r="C143">
            <v>37535</v>
          </cell>
        </row>
        <row r="144">
          <cell r="A144" t="str">
            <v>101091 11</v>
          </cell>
          <cell r="B144">
            <v>10109111</v>
          </cell>
          <cell r="C144">
            <v>37535</v>
          </cell>
        </row>
        <row r="145">
          <cell r="A145" t="str">
            <v>101091 12</v>
          </cell>
          <cell r="B145">
            <v>10109112</v>
          </cell>
          <cell r="C145">
            <v>37535</v>
          </cell>
        </row>
        <row r="146">
          <cell r="A146" t="str">
            <v>101092 01</v>
          </cell>
          <cell r="B146">
            <v>10109201</v>
          </cell>
          <cell r="C146">
            <v>37535</v>
          </cell>
        </row>
        <row r="147">
          <cell r="A147" t="str">
            <v>101209 01</v>
          </cell>
          <cell r="B147">
            <v>10120901</v>
          </cell>
          <cell r="C147">
            <v>37535</v>
          </cell>
        </row>
        <row r="148">
          <cell r="A148" t="str">
            <v>101246 01</v>
          </cell>
          <cell r="B148">
            <v>10124601</v>
          </cell>
          <cell r="C148">
            <v>37535</v>
          </cell>
        </row>
        <row r="149">
          <cell r="A149" t="str">
            <v>101248 01</v>
          </cell>
          <cell r="B149">
            <v>10124801</v>
          </cell>
          <cell r="C149">
            <v>37535</v>
          </cell>
        </row>
        <row r="150">
          <cell r="A150" t="str">
            <v>101274 01</v>
          </cell>
          <cell r="B150">
            <v>10127401</v>
          </cell>
          <cell r="C150">
            <v>37535</v>
          </cell>
        </row>
        <row r="151">
          <cell r="A151" t="str">
            <v>101317 01</v>
          </cell>
          <cell r="B151">
            <v>10131701</v>
          </cell>
          <cell r="C151">
            <v>37535</v>
          </cell>
        </row>
        <row r="152">
          <cell r="A152" t="str">
            <v>101319 01</v>
          </cell>
          <cell r="B152">
            <v>10131901</v>
          </cell>
          <cell r="C152">
            <v>37535</v>
          </cell>
        </row>
        <row r="153">
          <cell r="A153" t="str">
            <v>101350 01</v>
          </cell>
          <cell r="B153">
            <v>10135001</v>
          </cell>
          <cell r="C153">
            <v>37535</v>
          </cell>
        </row>
        <row r="154">
          <cell r="A154" t="str">
            <v>101351 01</v>
          </cell>
          <cell r="B154">
            <v>10135101</v>
          </cell>
          <cell r="C154">
            <v>37535</v>
          </cell>
        </row>
        <row r="155">
          <cell r="A155" t="str">
            <v>101356 01</v>
          </cell>
          <cell r="B155">
            <v>10135601</v>
          </cell>
          <cell r="C155">
            <v>37535</v>
          </cell>
        </row>
        <row r="156">
          <cell r="A156" t="str">
            <v>101357 01</v>
          </cell>
          <cell r="B156">
            <v>10135701</v>
          </cell>
          <cell r="C156">
            <v>37535</v>
          </cell>
        </row>
        <row r="157">
          <cell r="A157" t="str">
            <v>101358 01</v>
          </cell>
          <cell r="B157">
            <v>10135801</v>
          </cell>
          <cell r="C157">
            <v>37535</v>
          </cell>
        </row>
        <row r="158">
          <cell r="A158" t="str">
            <v>101392 01</v>
          </cell>
          <cell r="B158">
            <v>10139201</v>
          </cell>
          <cell r="C158">
            <v>37535</v>
          </cell>
        </row>
        <row r="159">
          <cell r="A159" t="str">
            <v>101396 01</v>
          </cell>
          <cell r="B159">
            <v>10139601</v>
          </cell>
          <cell r="C159">
            <v>37535</v>
          </cell>
        </row>
        <row r="160">
          <cell r="A160" t="str">
            <v>101396 02</v>
          </cell>
          <cell r="B160">
            <v>10139602</v>
          </cell>
          <cell r="C160">
            <v>37535</v>
          </cell>
        </row>
        <row r="161">
          <cell r="A161" t="str">
            <v>101400 01</v>
          </cell>
          <cell r="B161">
            <v>10140001</v>
          </cell>
          <cell r="C161">
            <v>37535</v>
          </cell>
        </row>
        <row r="162">
          <cell r="A162" t="str">
            <v>101418 01</v>
          </cell>
          <cell r="B162">
            <v>10141801</v>
          </cell>
          <cell r="C162">
            <v>37535</v>
          </cell>
        </row>
        <row r="163">
          <cell r="A163" t="str">
            <v>101461 01</v>
          </cell>
          <cell r="B163">
            <v>10146101</v>
          </cell>
          <cell r="C163">
            <v>37535</v>
          </cell>
        </row>
        <row r="164">
          <cell r="A164" t="str">
            <v>101462 01</v>
          </cell>
          <cell r="B164">
            <v>10146201</v>
          </cell>
          <cell r="C164">
            <v>37535</v>
          </cell>
        </row>
        <row r="165">
          <cell r="A165" t="str">
            <v>101463 01</v>
          </cell>
          <cell r="B165">
            <v>10146301</v>
          </cell>
          <cell r="C165">
            <v>37535</v>
          </cell>
        </row>
        <row r="166">
          <cell r="A166" t="str">
            <v>101464 01</v>
          </cell>
          <cell r="B166">
            <v>10146401</v>
          </cell>
          <cell r="C166">
            <v>37535</v>
          </cell>
        </row>
        <row r="167">
          <cell r="A167" t="str">
            <v>101465 01</v>
          </cell>
          <cell r="B167">
            <v>10146501</v>
          </cell>
          <cell r="C167">
            <v>37535</v>
          </cell>
        </row>
        <row r="168">
          <cell r="A168" t="str">
            <v>101466 01</v>
          </cell>
          <cell r="B168">
            <v>10146601</v>
          </cell>
          <cell r="C168">
            <v>37535</v>
          </cell>
        </row>
        <row r="169">
          <cell r="A169" t="str">
            <v>101488 01</v>
          </cell>
          <cell r="B169">
            <v>10148801</v>
          </cell>
          <cell r="C169">
            <v>37535</v>
          </cell>
        </row>
        <row r="170">
          <cell r="A170" t="str">
            <v>101498 01</v>
          </cell>
          <cell r="B170">
            <v>10149801</v>
          </cell>
          <cell r="C170">
            <v>37535</v>
          </cell>
        </row>
        <row r="171">
          <cell r="A171" t="str">
            <v>101530 01</v>
          </cell>
          <cell r="B171">
            <v>10153001</v>
          </cell>
          <cell r="C171">
            <v>37535</v>
          </cell>
        </row>
        <row r="172">
          <cell r="A172" t="str">
            <v>101587 01</v>
          </cell>
          <cell r="B172">
            <v>10158701</v>
          </cell>
          <cell r="C172">
            <v>37535</v>
          </cell>
        </row>
        <row r="173">
          <cell r="A173" t="str">
            <v>101587 02</v>
          </cell>
          <cell r="B173">
            <v>10158702</v>
          </cell>
          <cell r="C173">
            <v>37535</v>
          </cell>
        </row>
        <row r="174">
          <cell r="A174" t="str">
            <v>101587 03</v>
          </cell>
          <cell r="B174">
            <v>10158703</v>
          </cell>
          <cell r="C174">
            <v>37535</v>
          </cell>
        </row>
        <row r="175">
          <cell r="A175" t="str">
            <v>101587 04</v>
          </cell>
          <cell r="B175">
            <v>10158704</v>
          </cell>
          <cell r="C175">
            <v>37535</v>
          </cell>
        </row>
        <row r="176">
          <cell r="A176" t="str">
            <v>101587 05</v>
          </cell>
          <cell r="B176">
            <v>10158705</v>
          </cell>
          <cell r="C176">
            <v>37535</v>
          </cell>
        </row>
        <row r="177">
          <cell r="A177" t="str">
            <v>101587 06</v>
          </cell>
          <cell r="B177">
            <v>10158706</v>
          </cell>
          <cell r="C177">
            <v>37535</v>
          </cell>
        </row>
        <row r="178">
          <cell r="A178" t="str">
            <v>101587 07</v>
          </cell>
          <cell r="B178">
            <v>10158707</v>
          </cell>
          <cell r="C178">
            <v>37535</v>
          </cell>
        </row>
        <row r="179">
          <cell r="A179" t="str">
            <v>101587 08</v>
          </cell>
          <cell r="B179">
            <v>10158708</v>
          </cell>
          <cell r="C179">
            <v>37535</v>
          </cell>
        </row>
        <row r="180">
          <cell r="A180" t="str">
            <v>101589 01</v>
          </cell>
          <cell r="B180">
            <v>10158901</v>
          </cell>
          <cell r="C180">
            <v>37535</v>
          </cell>
        </row>
        <row r="181">
          <cell r="A181" t="str">
            <v>101611 01</v>
          </cell>
          <cell r="B181">
            <v>10161101</v>
          </cell>
          <cell r="C181">
            <v>37535</v>
          </cell>
        </row>
        <row r="182">
          <cell r="A182" t="str">
            <v>101612 01</v>
          </cell>
          <cell r="B182">
            <v>10161201</v>
          </cell>
          <cell r="C182">
            <v>37535</v>
          </cell>
        </row>
        <row r="183">
          <cell r="A183" t="str">
            <v>101636 01</v>
          </cell>
          <cell r="B183">
            <v>10163601</v>
          </cell>
          <cell r="C183">
            <v>37535</v>
          </cell>
        </row>
        <row r="184">
          <cell r="A184" t="str">
            <v>101636 02</v>
          </cell>
          <cell r="B184">
            <v>10163602</v>
          </cell>
          <cell r="C184">
            <v>37535</v>
          </cell>
        </row>
        <row r="185">
          <cell r="A185" t="str">
            <v>101636 03</v>
          </cell>
          <cell r="B185">
            <v>10163603</v>
          </cell>
          <cell r="C185">
            <v>37535</v>
          </cell>
        </row>
        <row r="186">
          <cell r="A186" t="str">
            <v>101636 04</v>
          </cell>
          <cell r="B186">
            <v>10163604</v>
          </cell>
          <cell r="C186">
            <v>37535</v>
          </cell>
        </row>
        <row r="187">
          <cell r="A187" t="str">
            <v>101636 05</v>
          </cell>
          <cell r="B187">
            <v>10163605</v>
          </cell>
          <cell r="C187">
            <v>37535</v>
          </cell>
        </row>
        <row r="188">
          <cell r="A188" t="str">
            <v>101636 06</v>
          </cell>
          <cell r="B188">
            <v>10163606</v>
          </cell>
          <cell r="C188">
            <v>37535</v>
          </cell>
        </row>
        <row r="189">
          <cell r="A189" t="str">
            <v>101636 07</v>
          </cell>
          <cell r="B189">
            <v>10163607</v>
          </cell>
          <cell r="C189">
            <v>37535</v>
          </cell>
        </row>
        <row r="190">
          <cell r="A190" t="str">
            <v>101637 01</v>
          </cell>
          <cell r="B190">
            <v>10163701</v>
          </cell>
          <cell r="C190">
            <v>37535</v>
          </cell>
        </row>
        <row r="191">
          <cell r="A191" t="str">
            <v>101637 02</v>
          </cell>
          <cell r="B191">
            <v>10163702</v>
          </cell>
          <cell r="C191">
            <v>37535</v>
          </cell>
        </row>
        <row r="192">
          <cell r="A192" t="str">
            <v>101637 03</v>
          </cell>
          <cell r="B192">
            <v>10163703</v>
          </cell>
          <cell r="C192">
            <v>37535</v>
          </cell>
        </row>
        <row r="193">
          <cell r="A193" t="str">
            <v>101637 04</v>
          </cell>
          <cell r="B193">
            <v>10163704</v>
          </cell>
          <cell r="C193">
            <v>37535</v>
          </cell>
        </row>
        <row r="194">
          <cell r="A194" t="str">
            <v>101637 05</v>
          </cell>
          <cell r="B194">
            <v>10163705</v>
          </cell>
          <cell r="C194">
            <v>37535</v>
          </cell>
        </row>
        <row r="195">
          <cell r="A195" t="str">
            <v>101637 06</v>
          </cell>
          <cell r="B195">
            <v>10163706</v>
          </cell>
          <cell r="C195">
            <v>37535</v>
          </cell>
        </row>
        <row r="196">
          <cell r="A196" t="str">
            <v>101637 07</v>
          </cell>
          <cell r="B196">
            <v>10163707</v>
          </cell>
          <cell r="C196">
            <v>37535</v>
          </cell>
        </row>
        <row r="197">
          <cell r="A197" t="str">
            <v>101658 01</v>
          </cell>
          <cell r="B197">
            <v>10165801</v>
          </cell>
          <cell r="C197">
            <v>37535</v>
          </cell>
        </row>
        <row r="198">
          <cell r="A198" t="str">
            <v>101701 01</v>
          </cell>
          <cell r="B198">
            <v>10170101</v>
          </cell>
          <cell r="C198">
            <v>37535</v>
          </cell>
        </row>
        <row r="199">
          <cell r="A199" t="str">
            <v>101738 01</v>
          </cell>
          <cell r="B199">
            <v>10173801</v>
          </cell>
          <cell r="C199">
            <v>37535</v>
          </cell>
        </row>
        <row r="200">
          <cell r="A200" t="str">
            <v>101741 01</v>
          </cell>
          <cell r="B200">
            <v>10174101</v>
          </cell>
          <cell r="C200">
            <v>37535</v>
          </cell>
        </row>
        <row r="201">
          <cell r="A201" t="str">
            <v>101793 01</v>
          </cell>
          <cell r="B201">
            <v>10179301</v>
          </cell>
          <cell r="C201">
            <v>37535</v>
          </cell>
        </row>
        <row r="202">
          <cell r="A202" t="str">
            <v>101794 01</v>
          </cell>
          <cell r="B202">
            <v>10179401</v>
          </cell>
          <cell r="C202">
            <v>37535</v>
          </cell>
        </row>
        <row r="203">
          <cell r="A203" t="str">
            <v>101795 01</v>
          </cell>
          <cell r="B203">
            <v>10179501</v>
          </cell>
          <cell r="C203">
            <v>37535</v>
          </cell>
        </row>
        <row r="204">
          <cell r="A204" t="str">
            <v>101796 01</v>
          </cell>
          <cell r="B204">
            <v>10179601</v>
          </cell>
          <cell r="C204">
            <v>37535</v>
          </cell>
        </row>
        <row r="205">
          <cell r="A205" t="str">
            <v>101798 01</v>
          </cell>
          <cell r="B205">
            <v>10179801</v>
          </cell>
          <cell r="C205">
            <v>37535</v>
          </cell>
        </row>
        <row r="206">
          <cell r="A206" t="str">
            <v>101802 01</v>
          </cell>
          <cell r="B206">
            <v>10180201</v>
          </cell>
          <cell r="C206">
            <v>37535</v>
          </cell>
        </row>
        <row r="207">
          <cell r="A207" t="str">
            <v>101804 01</v>
          </cell>
          <cell r="B207">
            <v>10180401</v>
          </cell>
          <cell r="C207">
            <v>37535</v>
          </cell>
        </row>
        <row r="208">
          <cell r="A208" t="str">
            <v>101811 01</v>
          </cell>
          <cell r="B208">
            <v>10181101</v>
          </cell>
          <cell r="C208">
            <v>37535</v>
          </cell>
        </row>
        <row r="209">
          <cell r="A209" t="str">
            <v>101818 01</v>
          </cell>
          <cell r="B209">
            <v>10181801</v>
          </cell>
          <cell r="C209">
            <v>37530</v>
          </cell>
        </row>
        <row r="210">
          <cell r="A210" t="str">
            <v>101818 02</v>
          </cell>
          <cell r="B210">
            <v>10181802</v>
          </cell>
          <cell r="C210">
            <v>37530</v>
          </cell>
        </row>
        <row r="211">
          <cell r="A211" t="str">
            <v>101819 01</v>
          </cell>
          <cell r="B211">
            <v>10181901</v>
          </cell>
          <cell r="C211">
            <v>37535</v>
          </cell>
        </row>
        <row r="212">
          <cell r="A212" t="str">
            <v>101951 01</v>
          </cell>
          <cell r="B212">
            <v>10195101</v>
          </cell>
          <cell r="C212">
            <v>37535</v>
          </cell>
        </row>
        <row r="213">
          <cell r="A213" t="str">
            <v>101954 01</v>
          </cell>
          <cell r="B213">
            <v>10195401</v>
          </cell>
          <cell r="C213">
            <v>37535</v>
          </cell>
        </row>
        <row r="214">
          <cell r="A214" t="str">
            <v>101954 02</v>
          </cell>
          <cell r="B214">
            <v>10195402</v>
          </cell>
          <cell r="C214">
            <v>37535</v>
          </cell>
        </row>
        <row r="215">
          <cell r="A215" t="str">
            <v>101954 03</v>
          </cell>
          <cell r="B215">
            <v>10195403</v>
          </cell>
          <cell r="C215">
            <v>37535</v>
          </cell>
        </row>
        <row r="216">
          <cell r="A216" t="str">
            <v>101954 04</v>
          </cell>
          <cell r="B216">
            <v>10195404</v>
          </cell>
          <cell r="C216">
            <v>37535</v>
          </cell>
        </row>
        <row r="217">
          <cell r="A217" t="str">
            <v>101954 05</v>
          </cell>
          <cell r="B217">
            <v>10195405</v>
          </cell>
          <cell r="C217">
            <v>37535</v>
          </cell>
        </row>
        <row r="218">
          <cell r="A218" t="str">
            <v>101954 07</v>
          </cell>
          <cell r="B218">
            <v>10195407</v>
          </cell>
          <cell r="C218">
            <v>37535</v>
          </cell>
        </row>
        <row r="219">
          <cell r="A219" t="str">
            <v>101954 08</v>
          </cell>
          <cell r="B219">
            <v>10195408</v>
          </cell>
          <cell r="C219">
            <v>37535</v>
          </cell>
        </row>
        <row r="220">
          <cell r="A220" t="str">
            <v>101980 01</v>
          </cell>
          <cell r="B220">
            <v>10198001</v>
          </cell>
          <cell r="C220">
            <v>37535</v>
          </cell>
        </row>
        <row r="221">
          <cell r="A221" t="str">
            <v>101986 01</v>
          </cell>
          <cell r="B221">
            <v>10198601</v>
          </cell>
          <cell r="C221">
            <v>37535</v>
          </cell>
        </row>
        <row r="222">
          <cell r="A222" t="str">
            <v>101996 01</v>
          </cell>
          <cell r="B222">
            <v>10199601</v>
          </cell>
          <cell r="C222">
            <v>37535</v>
          </cell>
        </row>
        <row r="223">
          <cell r="A223" t="str">
            <v>101996 02</v>
          </cell>
          <cell r="B223">
            <v>10199602</v>
          </cell>
          <cell r="C223">
            <v>37535</v>
          </cell>
        </row>
        <row r="224">
          <cell r="A224" t="str">
            <v>101996 03</v>
          </cell>
          <cell r="B224">
            <v>10199603</v>
          </cell>
          <cell r="C224">
            <v>37535</v>
          </cell>
        </row>
        <row r="225">
          <cell r="A225" t="str">
            <v>101996 04</v>
          </cell>
          <cell r="B225">
            <v>10199604</v>
          </cell>
          <cell r="C225">
            <v>37535</v>
          </cell>
        </row>
        <row r="226">
          <cell r="A226" t="str">
            <v>101996 05</v>
          </cell>
          <cell r="B226">
            <v>10199605</v>
          </cell>
          <cell r="C226">
            <v>37535</v>
          </cell>
        </row>
        <row r="227">
          <cell r="A227" t="str">
            <v>101996 06</v>
          </cell>
          <cell r="B227">
            <v>10199606</v>
          </cell>
          <cell r="C227">
            <v>37535</v>
          </cell>
        </row>
        <row r="228">
          <cell r="A228" t="str">
            <v>102016 01</v>
          </cell>
          <cell r="B228">
            <v>10201601</v>
          </cell>
          <cell r="C228">
            <v>37530</v>
          </cell>
        </row>
        <row r="229">
          <cell r="A229" t="str">
            <v>102016 02</v>
          </cell>
          <cell r="B229">
            <v>10201602</v>
          </cell>
          <cell r="C229">
            <v>37530</v>
          </cell>
        </row>
        <row r="230">
          <cell r="A230" t="str">
            <v>102016 03</v>
          </cell>
          <cell r="B230">
            <v>10201603</v>
          </cell>
          <cell r="C230">
            <v>37530</v>
          </cell>
        </row>
        <row r="231">
          <cell r="A231" t="str">
            <v>102017 01</v>
          </cell>
          <cell r="B231">
            <v>10201701</v>
          </cell>
          <cell r="C231">
            <v>37535</v>
          </cell>
        </row>
        <row r="232">
          <cell r="A232" t="str">
            <v>102034 01</v>
          </cell>
          <cell r="B232">
            <v>10203401</v>
          </cell>
          <cell r="C232">
            <v>37535</v>
          </cell>
        </row>
        <row r="233">
          <cell r="A233" t="str">
            <v>102035 01</v>
          </cell>
          <cell r="B233">
            <v>10203501</v>
          </cell>
          <cell r="C233">
            <v>37535</v>
          </cell>
        </row>
        <row r="234">
          <cell r="A234" t="str">
            <v>102040 01</v>
          </cell>
          <cell r="B234">
            <v>10204001</v>
          </cell>
          <cell r="C234">
            <v>37535</v>
          </cell>
        </row>
        <row r="235">
          <cell r="A235" t="str">
            <v>102040 02</v>
          </cell>
          <cell r="B235">
            <v>10204002</v>
          </cell>
          <cell r="C235">
            <v>37535</v>
          </cell>
        </row>
        <row r="236">
          <cell r="A236" t="str">
            <v>102047 01</v>
          </cell>
          <cell r="B236">
            <v>10204701</v>
          </cell>
          <cell r="C236">
            <v>37535</v>
          </cell>
        </row>
        <row r="237">
          <cell r="A237" t="str">
            <v>102048 01</v>
          </cell>
          <cell r="B237">
            <v>10204801</v>
          </cell>
          <cell r="C237">
            <v>37535</v>
          </cell>
        </row>
        <row r="238">
          <cell r="A238" t="str">
            <v>102059 01</v>
          </cell>
          <cell r="B238">
            <v>10205901</v>
          </cell>
          <cell r="C238">
            <v>37535</v>
          </cell>
        </row>
        <row r="239">
          <cell r="A239" t="str">
            <v>102061 01</v>
          </cell>
          <cell r="B239">
            <v>10206101</v>
          </cell>
          <cell r="C239">
            <v>37535</v>
          </cell>
        </row>
        <row r="240">
          <cell r="A240" t="str">
            <v>102061 02</v>
          </cell>
          <cell r="B240">
            <v>10206102</v>
          </cell>
          <cell r="C240">
            <v>37535</v>
          </cell>
        </row>
        <row r="241">
          <cell r="A241" t="str">
            <v>102061 03</v>
          </cell>
          <cell r="B241">
            <v>10206103</v>
          </cell>
          <cell r="C241">
            <v>37535</v>
          </cell>
        </row>
        <row r="242">
          <cell r="A242" t="str">
            <v>102061 04</v>
          </cell>
          <cell r="B242">
            <v>10206104</v>
          </cell>
          <cell r="C242">
            <v>37535</v>
          </cell>
        </row>
        <row r="243">
          <cell r="A243" t="str">
            <v>102061 05</v>
          </cell>
          <cell r="B243">
            <v>10206105</v>
          </cell>
          <cell r="C243">
            <v>37535</v>
          </cell>
        </row>
        <row r="244">
          <cell r="A244" t="str">
            <v>102061 06</v>
          </cell>
          <cell r="B244">
            <v>10206106</v>
          </cell>
          <cell r="C244">
            <v>37535</v>
          </cell>
        </row>
        <row r="245">
          <cell r="A245" t="str">
            <v>102062 01</v>
          </cell>
          <cell r="B245">
            <v>10206201</v>
          </cell>
          <cell r="C245">
            <v>37530</v>
          </cell>
        </row>
        <row r="246">
          <cell r="A246" t="str">
            <v>102062 02</v>
          </cell>
          <cell r="B246">
            <v>10206202</v>
          </cell>
          <cell r="C246">
            <v>37530</v>
          </cell>
        </row>
        <row r="247">
          <cell r="A247" t="str">
            <v>102062 03</v>
          </cell>
          <cell r="B247">
            <v>10206203</v>
          </cell>
          <cell r="C247">
            <v>37530</v>
          </cell>
        </row>
        <row r="248">
          <cell r="A248" t="str">
            <v>102062 04</v>
          </cell>
          <cell r="B248">
            <v>10206204</v>
          </cell>
          <cell r="C248">
            <v>37530</v>
          </cell>
        </row>
        <row r="249">
          <cell r="A249" t="str">
            <v>102062 05</v>
          </cell>
          <cell r="B249">
            <v>10206205</v>
          </cell>
          <cell r="C249">
            <v>37530</v>
          </cell>
        </row>
        <row r="250">
          <cell r="A250" t="str">
            <v>102063 01</v>
          </cell>
          <cell r="B250">
            <v>10206301</v>
          </cell>
          <cell r="C250">
            <v>37530</v>
          </cell>
        </row>
        <row r="251">
          <cell r="A251" t="str">
            <v>102064 01</v>
          </cell>
          <cell r="B251">
            <v>10206401</v>
          </cell>
          <cell r="C251">
            <v>37530</v>
          </cell>
        </row>
        <row r="252">
          <cell r="A252" t="str">
            <v>102074 01</v>
          </cell>
          <cell r="B252">
            <v>10207401</v>
          </cell>
          <cell r="C252">
            <v>37535</v>
          </cell>
        </row>
        <row r="253">
          <cell r="A253" t="str">
            <v>102092 01</v>
          </cell>
          <cell r="B253">
            <v>10209201</v>
          </cell>
          <cell r="C253">
            <v>37535</v>
          </cell>
        </row>
        <row r="254">
          <cell r="A254" t="str">
            <v>102092 02</v>
          </cell>
          <cell r="B254">
            <v>10209202</v>
          </cell>
          <cell r="C254">
            <v>37535</v>
          </cell>
        </row>
        <row r="255">
          <cell r="A255" t="str">
            <v>102120 01</v>
          </cell>
          <cell r="B255">
            <v>10212001</v>
          </cell>
          <cell r="C255">
            <v>37535</v>
          </cell>
        </row>
        <row r="256">
          <cell r="A256" t="str">
            <v>102121 01</v>
          </cell>
          <cell r="B256">
            <v>10212101</v>
          </cell>
          <cell r="C256">
            <v>37535</v>
          </cell>
        </row>
        <row r="257">
          <cell r="A257" t="str">
            <v>102122 01</v>
          </cell>
          <cell r="B257">
            <v>10212201</v>
          </cell>
          <cell r="C257">
            <v>37535</v>
          </cell>
        </row>
        <row r="258">
          <cell r="A258" t="str">
            <v>102122 02</v>
          </cell>
          <cell r="B258">
            <v>10212202</v>
          </cell>
          <cell r="C258">
            <v>37535</v>
          </cell>
        </row>
        <row r="259">
          <cell r="A259" t="str">
            <v>102122 03</v>
          </cell>
          <cell r="B259">
            <v>10212203</v>
          </cell>
          <cell r="C259">
            <v>37535</v>
          </cell>
        </row>
        <row r="260">
          <cell r="A260" t="str">
            <v>102123 01</v>
          </cell>
          <cell r="B260">
            <v>10212301</v>
          </cell>
          <cell r="C260">
            <v>37535</v>
          </cell>
        </row>
        <row r="261">
          <cell r="A261" t="str">
            <v>102124 01</v>
          </cell>
          <cell r="B261">
            <v>10212401</v>
          </cell>
          <cell r="C261">
            <v>37535</v>
          </cell>
        </row>
        <row r="262">
          <cell r="A262" t="str">
            <v>102125 01</v>
          </cell>
          <cell r="B262">
            <v>10212501</v>
          </cell>
          <cell r="C262">
            <v>37535</v>
          </cell>
        </row>
        <row r="263">
          <cell r="A263" t="str">
            <v>102126 01</v>
          </cell>
          <cell r="B263">
            <v>10212601</v>
          </cell>
          <cell r="C263">
            <v>37535</v>
          </cell>
        </row>
        <row r="264">
          <cell r="A264" t="str">
            <v>102147 01</v>
          </cell>
          <cell r="B264">
            <v>10214701</v>
          </cell>
          <cell r="C264">
            <v>37535</v>
          </cell>
        </row>
        <row r="265">
          <cell r="A265" t="str">
            <v>102165 01</v>
          </cell>
          <cell r="B265">
            <v>10216501</v>
          </cell>
          <cell r="C265">
            <v>37535</v>
          </cell>
        </row>
        <row r="266">
          <cell r="A266" t="str">
            <v>102168 01</v>
          </cell>
          <cell r="B266">
            <v>10216801</v>
          </cell>
          <cell r="C266">
            <v>37535</v>
          </cell>
        </row>
        <row r="267">
          <cell r="A267" t="str">
            <v>102170 01</v>
          </cell>
          <cell r="B267">
            <v>10217001</v>
          </cell>
          <cell r="C267">
            <v>37535</v>
          </cell>
        </row>
        <row r="268">
          <cell r="A268" t="str">
            <v>102259 01</v>
          </cell>
          <cell r="B268">
            <v>10225901</v>
          </cell>
          <cell r="C268">
            <v>37535</v>
          </cell>
        </row>
        <row r="269">
          <cell r="A269" t="str">
            <v>102391 01</v>
          </cell>
          <cell r="B269">
            <v>10239101</v>
          </cell>
          <cell r="C269">
            <v>37535</v>
          </cell>
        </row>
        <row r="270">
          <cell r="A270" t="str">
            <v>102392 01</v>
          </cell>
          <cell r="B270">
            <v>10239201</v>
          </cell>
          <cell r="C270">
            <v>37535</v>
          </cell>
        </row>
        <row r="271">
          <cell r="A271" t="str">
            <v>102403 01</v>
          </cell>
          <cell r="B271">
            <v>10240301</v>
          </cell>
          <cell r="C271">
            <v>37535</v>
          </cell>
        </row>
        <row r="272">
          <cell r="A272" t="str">
            <v>102415 01</v>
          </cell>
          <cell r="B272">
            <v>10241501</v>
          </cell>
          <cell r="C272">
            <v>37535</v>
          </cell>
        </row>
        <row r="273">
          <cell r="A273" t="str">
            <v>102521 01</v>
          </cell>
          <cell r="B273">
            <v>10252101</v>
          </cell>
          <cell r="C273">
            <v>37535</v>
          </cell>
        </row>
        <row r="274">
          <cell r="A274" t="str">
            <v>102649 01</v>
          </cell>
          <cell r="B274">
            <v>10264901</v>
          </cell>
          <cell r="C274">
            <v>37535</v>
          </cell>
        </row>
        <row r="275">
          <cell r="A275" t="str">
            <v>102653 01</v>
          </cell>
          <cell r="B275">
            <v>10265301</v>
          </cell>
          <cell r="C275">
            <v>37535</v>
          </cell>
        </row>
        <row r="276">
          <cell r="A276" t="str">
            <v>102681 01</v>
          </cell>
          <cell r="B276">
            <v>10268101</v>
          </cell>
          <cell r="C276">
            <v>37535</v>
          </cell>
        </row>
        <row r="277">
          <cell r="A277" t="str">
            <v>102686 01</v>
          </cell>
          <cell r="B277">
            <v>10268601</v>
          </cell>
          <cell r="C277">
            <v>37535</v>
          </cell>
        </row>
        <row r="278">
          <cell r="A278" t="str">
            <v>102775 01</v>
          </cell>
          <cell r="B278">
            <v>10277501</v>
          </cell>
          <cell r="C278">
            <v>37535</v>
          </cell>
        </row>
        <row r="279">
          <cell r="A279" t="str">
            <v>102806 01</v>
          </cell>
          <cell r="B279">
            <v>10280601</v>
          </cell>
          <cell r="C279">
            <v>37535</v>
          </cell>
        </row>
        <row r="280">
          <cell r="A280" t="str">
            <v>102821 01</v>
          </cell>
          <cell r="B280">
            <v>10282101</v>
          </cell>
          <cell r="C280">
            <v>37535</v>
          </cell>
        </row>
        <row r="281">
          <cell r="A281" t="str">
            <v>102822 01</v>
          </cell>
          <cell r="B281">
            <v>10282201</v>
          </cell>
          <cell r="C281">
            <v>37535</v>
          </cell>
        </row>
        <row r="282">
          <cell r="A282" t="str">
            <v>102822 02</v>
          </cell>
          <cell r="B282">
            <v>10282202</v>
          </cell>
          <cell r="C282">
            <v>37535</v>
          </cell>
        </row>
        <row r="283">
          <cell r="A283" t="str">
            <v>102834 01</v>
          </cell>
          <cell r="B283">
            <v>10283401</v>
          </cell>
          <cell r="C283">
            <v>37535</v>
          </cell>
        </row>
        <row r="284">
          <cell r="A284" t="str">
            <v>102838 01</v>
          </cell>
          <cell r="B284">
            <v>10283801</v>
          </cell>
          <cell r="C284">
            <v>37535</v>
          </cell>
        </row>
        <row r="285">
          <cell r="A285" t="str">
            <v>102838 02</v>
          </cell>
          <cell r="B285">
            <v>10283802</v>
          </cell>
          <cell r="C285">
            <v>37535</v>
          </cell>
        </row>
        <row r="286">
          <cell r="A286" t="str">
            <v>102892 01</v>
          </cell>
          <cell r="B286">
            <v>10289201</v>
          </cell>
          <cell r="C286">
            <v>37535</v>
          </cell>
        </row>
        <row r="287">
          <cell r="A287" t="str">
            <v>102892 02</v>
          </cell>
          <cell r="B287">
            <v>10289202</v>
          </cell>
          <cell r="C287">
            <v>37535</v>
          </cell>
        </row>
        <row r="288">
          <cell r="A288" t="str">
            <v>102907 01</v>
          </cell>
          <cell r="B288">
            <v>10290701</v>
          </cell>
          <cell r="C288">
            <v>37530</v>
          </cell>
        </row>
        <row r="289">
          <cell r="A289" t="str">
            <v>102907 02</v>
          </cell>
          <cell r="B289">
            <v>10290702</v>
          </cell>
          <cell r="C289">
            <v>37530</v>
          </cell>
        </row>
        <row r="290">
          <cell r="A290" t="str">
            <v>102907 03</v>
          </cell>
          <cell r="B290">
            <v>10290703</v>
          </cell>
          <cell r="C290">
            <v>37530</v>
          </cell>
        </row>
        <row r="291">
          <cell r="A291" t="str">
            <v>102907 04</v>
          </cell>
          <cell r="B291">
            <v>10290704</v>
          </cell>
          <cell r="C291">
            <v>37530</v>
          </cell>
        </row>
        <row r="292">
          <cell r="A292" t="str">
            <v>102907 05</v>
          </cell>
          <cell r="B292">
            <v>10290705</v>
          </cell>
          <cell r="C292">
            <v>37530</v>
          </cell>
        </row>
        <row r="293">
          <cell r="A293" t="str">
            <v>102959 01</v>
          </cell>
          <cell r="B293">
            <v>10295901</v>
          </cell>
          <cell r="C293">
            <v>37535</v>
          </cell>
        </row>
        <row r="294">
          <cell r="A294" t="str">
            <v>102959 02</v>
          </cell>
          <cell r="B294">
            <v>10295902</v>
          </cell>
          <cell r="C294">
            <v>37535</v>
          </cell>
        </row>
        <row r="295">
          <cell r="A295" t="str">
            <v>102964 01</v>
          </cell>
          <cell r="B295">
            <v>10296401</v>
          </cell>
          <cell r="C295">
            <v>37535</v>
          </cell>
        </row>
        <row r="296">
          <cell r="A296" t="str">
            <v>102964 02</v>
          </cell>
          <cell r="B296">
            <v>10296402</v>
          </cell>
          <cell r="C296">
            <v>37535</v>
          </cell>
        </row>
        <row r="297">
          <cell r="A297" t="str">
            <v>102964 04</v>
          </cell>
          <cell r="B297">
            <v>10296404</v>
          </cell>
          <cell r="C297">
            <v>37535</v>
          </cell>
        </row>
        <row r="298">
          <cell r="A298" t="str">
            <v>102964 05</v>
          </cell>
          <cell r="B298">
            <v>10296405</v>
          </cell>
          <cell r="C298">
            <v>37535</v>
          </cell>
        </row>
        <row r="299">
          <cell r="A299" t="str">
            <v>102964 06</v>
          </cell>
          <cell r="B299">
            <v>10296406</v>
          </cell>
          <cell r="C299">
            <v>37535</v>
          </cell>
        </row>
        <row r="300">
          <cell r="A300" t="str">
            <v>102964 07</v>
          </cell>
          <cell r="B300">
            <v>10296407</v>
          </cell>
          <cell r="C300">
            <v>37535</v>
          </cell>
        </row>
        <row r="301">
          <cell r="A301" t="str">
            <v>102964 08</v>
          </cell>
          <cell r="B301">
            <v>10296408</v>
          </cell>
          <cell r="C301">
            <v>37535</v>
          </cell>
        </row>
        <row r="302">
          <cell r="A302" t="str">
            <v>102964 09</v>
          </cell>
          <cell r="B302">
            <v>10296409</v>
          </cell>
          <cell r="C302">
            <v>37535</v>
          </cell>
        </row>
        <row r="303">
          <cell r="A303" t="str">
            <v>102964 10</v>
          </cell>
          <cell r="B303">
            <v>10296410</v>
          </cell>
          <cell r="C303">
            <v>37535</v>
          </cell>
        </row>
        <row r="304">
          <cell r="A304" t="str">
            <v>102964 11</v>
          </cell>
          <cell r="B304">
            <v>10296411</v>
          </cell>
          <cell r="C304">
            <v>37535</v>
          </cell>
        </row>
        <row r="305">
          <cell r="A305" t="str">
            <v>102964 12</v>
          </cell>
          <cell r="B305">
            <v>10296412</v>
          </cell>
          <cell r="C305">
            <v>37535</v>
          </cell>
        </row>
        <row r="306">
          <cell r="A306" t="str">
            <v>102998 01</v>
          </cell>
          <cell r="B306">
            <v>10299801</v>
          </cell>
          <cell r="C306">
            <v>37535</v>
          </cell>
        </row>
        <row r="307">
          <cell r="A307" t="str">
            <v>102999 02</v>
          </cell>
          <cell r="B307">
            <v>10299902</v>
          </cell>
          <cell r="C307">
            <v>37535</v>
          </cell>
        </row>
        <row r="308">
          <cell r="A308" t="str">
            <v>102999 03</v>
          </cell>
          <cell r="B308">
            <v>10299903</v>
          </cell>
          <cell r="C308">
            <v>37535</v>
          </cell>
        </row>
        <row r="309">
          <cell r="A309" t="str">
            <v>102999 04</v>
          </cell>
          <cell r="B309">
            <v>10299904</v>
          </cell>
          <cell r="C309">
            <v>37535</v>
          </cell>
        </row>
        <row r="310">
          <cell r="A310" t="str">
            <v>102999 05</v>
          </cell>
          <cell r="B310">
            <v>10299905</v>
          </cell>
          <cell r="C310">
            <v>37535</v>
          </cell>
        </row>
        <row r="311">
          <cell r="A311" t="str">
            <v>103000 01</v>
          </cell>
          <cell r="B311">
            <v>10300001</v>
          </cell>
          <cell r="C311">
            <v>37535</v>
          </cell>
        </row>
        <row r="312">
          <cell r="A312" t="str">
            <v>103009 01</v>
          </cell>
          <cell r="B312">
            <v>10300901</v>
          </cell>
          <cell r="C312">
            <v>37535</v>
          </cell>
        </row>
        <row r="313">
          <cell r="A313" t="str">
            <v>103009 02</v>
          </cell>
          <cell r="B313">
            <v>10300902</v>
          </cell>
          <cell r="C313">
            <v>37535</v>
          </cell>
        </row>
        <row r="314">
          <cell r="A314" t="str">
            <v>103026 01</v>
          </cell>
          <cell r="B314">
            <v>10302601</v>
          </cell>
          <cell r="C314">
            <v>37535</v>
          </cell>
        </row>
        <row r="315">
          <cell r="A315" t="str">
            <v>103035 01</v>
          </cell>
          <cell r="B315">
            <v>10303501</v>
          </cell>
          <cell r="C315">
            <v>37535</v>
          </cell>
        </row>
        <row r="316">
          <cell r="A316" t="str">
            <v>103042 01</v>
          </cell>
          <cell r="B316">
            <v>10304201</v>
          </cell>
          <cell r="C316">
            <v>37535</v>
          </cell>
        </row>
        <row r="317">
          <cell r="A317" t="str">
            <v>103069 01</v>
          </cell>
          <cell r="B317">
            <v>10306901</v>
          </cell>
          <cell r="C317">
            <v>37535</v>
          </cell>
        </row>
        <row r="318">
          <cell r="A318" t="str">
            <v>103071 01</v>
          </cell>
          <cell r="B318">
            <v>10307101</v>
          </cell>
          <cell r="C318">
            <v>37530</v>
          </cell>
        </row>
        <row r="319">
          <cell r="A319" t="str">
            <v>103071 02</v>
          </cell>
          <cell r="B319">
            <v>10307102</v>
          </cell>
          <cell r="C319">
            <v>37530</v>
          </cell>
        </row>
        <row r="320">
          <cell r="A320" t="str">
            <v>103071 03</v>
          </cell>
          <cell r="B320">
            <v>10307103</v>
          </cell>
          <cell r="C320">
            <v>37530</v>
          </cell>
        </row>
        <row r="321">
          <cell r="A321" t="str">
            <v>103071 04</v>
          </cell>
          <cell r="B321">
            <v>10307104</v>
          </cell>
          <cell r="C321">
            <v>37530</v>
          </cell>
        </row>
        <row r="322">
          <cell r="A322" t="str">
            <v>103071 05</v>
          </cell>
          <cell r="B322">
            <v>10307105</v>
          </cell>
          <cell r="C322">
            <v>37530</v>
          </cell>
        </row>
        <row r="323">
          <cell r="A323" t="str">
            <v>103079 01</v>
          </cell>
          <cell r="B323">
            <v>10307901</v>
          </cell>
          <cell r="C323">
            <v>37535</v>
          </cell>
        </row>
        <row r="324">
          <cell r="A324" t="str">
            <v>103079 02</v>
          </cell>
          <cell r="B324">
            <v>10307902</v>
          </cell>
          <cell r="C324">
            <v>37535</v>
          </cell>
        </row>
        <row r="325">
          <cell r="A325" t="str">
            <v>103153 01</v>
          </cell>
          <cell r="B325">
            <v>10315301</v>
          </cell>
          <cell r="C325">
            <v>37535</v>
          </cell>
        </row>
        <row r="326">
          <cell r="A326" t="str">
            <v>103154 01</v>
          </cell>
          <cell r="B326">
            <v>10315401</v>
          </cell>
          <cell r="C326">
            <v>37535</v>
          </cell>
        </row>
        <row r="327">
          <cell r="A327" t="str">
            <v>103256 01</v>
          </cell>
          <cell r="B327">
            <v>10325601</v>
          </cell>
          <cell r="C327">
            <v>37535</v>
          </cell>
        </row>
        <row r="328">
          <cell r="A328" t="str">
            <v>103257 01</v>
          </cell>
          <cell r="B328">
            <v>10325701</v>
          </cell>
          <cell r="C328">
            <v>37535</v>
          </cell>
        </row>
        <row r="329">
          <cell r="A329" t="str">
            <v>103262 01</v>
          </cell>
          <cell r="B329">
            <v>10326201</v>
          </cell>
          <cell r="C329">
            <v>37530</v>
          </cell>
        </row>
        <row r="330">
          <cell r="A330" t="str">
            <v>103262 03</v>
          </cell>
          <cell r="B330">
            <v>10326203</v>
          </cell>
          <cell r="C330">
            <v>37530</v>
          </cell>
        </row>
        <row r="331">
          <cell r="A331" t="str">
            <v>103262 04</v>
          </cell>
          <cell r="B331">
            <v>10326204</v>
          </cell>
          <cell r="C331">
            <v>37530</v>
          </cell>
        </row>
        <row r="332">
          <cell r="A332" t="str">
            <v>103262 05</v>
          </cell>
          <cell r="B332">
            <v>10326205</v>
          </cell>
          <cell r="C332">
            <v>37530</v>
          </cell>
        </row>
        <row r="333">
          <cell r="A333" t="str">
            <v>103262 06</v>
          </cell>
          <cell r="B333">
            <v>10326206</v>
          </cell>
          <cell r="C333">
            <v>37530</v>
          </cell>
        </row>
        <row r="334">
          <cell r="A334" t="str">
            <v>103262 08</v>
          </cell>
          <cell r="B334">
            <v>10326208</v>
          </cell>
          <cell r="C334">
            <v>37530</v>
          </cell>
        </row>
        <row r="335">
          <cell r="A335" t="str">
            <v>103263 01</v>
          </cell>
          <cell r="B335">
            <v>10326301</v>
          </cell>
          <cell r="C335">
            <v>37535</v>
          </cell>
        </row>
        <row r="336">
          <cell r="A336" t="str">
            <v>103263 03</v>
          </cell>
          <cell r="B336">
            <v>10326303</v>
          </cell>
          <cell r="C336">
            <v>37535</v>
          </cell>
        </row>
        <row r="337">
          <cell r="A337" t="str">
            <v>103263 04</v>
          </cell>
          <cell r="B337">
            <v>10326304</v>
          </cell>
          <cell r="C337">
            <v>37535</v>
          </cell>
        </row>
        <row r="338">
          <cell r="A338" t="str">
            <v>103270 01</v>
          </cell>
          <cell r="B338">
            <v>10327001</v>
          </cell>
          <cell r="C338">
            <v>37535</v>
          </cell>
        </row>
        <row r="339">
          <cell r="A339" t="str">
            <v>103285 01</v>
          </cell>
          <cell r="B339">
            <v>10328501</v>
          </cell>
          <cell r="C339">
            <v>37535</v>
          </cell>
        </row>
        <row r="340">
          <cell r="A340" t="str">
            <v>103319 01</v>
          </cell>
          <cell r="B340">
            <v>10331901</v>
          </cell>
          <cell r="C340">
            <v>37535</v>
          </cell>
        </row>
        <row r="341">
          <cell r="A341" t="str">
            <v>103328 01</v>
          </cell>
          <cell r="B341">
            <v>10332801</v>
          </cell>
          <cell r="C341">
            <v>37535</v>
          </cell>
        </row>
        <row r="342">
          <cell r="A342" t="str">
            <v>103335 01</v>
          </cell>
          <cell r="B342">
            <v>10333501</v>
          </cell>
          <cell r="C342">
            <v>37535</v>
          </cell>
        </row>
        <row r="343">
          <cell r="A343" t="str">
            <v>103354 01</v>
          </cell>
          <cell r="B343">
            <v>10335401</v>
          </cell>
          <cell r="C343">
            <v>37535</v>
          </cell>
        </row>
        <row r="344">
          <cell r="A344" t="str">
            <v>103360 01</v>
          </cell>
          <cell r="B344">
            <v>10336001</v>
          </cell>
          <cell r="C344">
            <v>37530</v>
          </cell>
        </row>
        <row r="345">
          <cell r="A345" t="str">
            <v>103360 02</v>
          </cell>
          <cell r="B345">
            <v>10336002</v>
          </cell>
          <cell r="C345">
            <v>37535</v>
          </cell>
        </row>
        <row r="346">
          <cell r="A346" t="str">
            <v>103360 03</v>
          </cell>
          <cell r="B346">
            <v>10336003</v>
          </cell>
          <cell r="C346">
            <v>37530</v>
          </cell>
        </row>
        <row r="347">
          <cell r="A347" t="str">
            <v>103360 04</v>
          </cell>
          <cell r="B347">
            <v>10336004</v>
          </cell>
          <cell r="C347">
            <v>37530</v>
          </cell>
        </row>
        <row r="348">
          <cell r="A348" t="str">
            <v>103360 05</v>
          </cell>
          <cell r="B348">
            <v>10336005</v>
          </cell>
          <cell r="C348">
            <v>37535</v>
          </cell>
        </row>
        <row r="349">
          <cell r="A349" t="str">
            <v>103360 06</v>
          </cell>
          <cell r="B349">
            <v>10336006</v>
          </cell>
          <cell r="C349">
            <v>37530</v>
          </cell>
        </row>
        <row r="350">
          <cell r="A350" t="str">
            <v>103360 07</v>
          </cell>
          <cell r="B350">
            <v>10336007</v>
          </cell>
          <cell r="C350">
            <v>37535</v>
          </cell>
        </row>
        <row r="351">
          <cell r="A351" t="str">
            <v>103360 08</v>
          </cell>
          <cell r="B351">
            <v>10336008</v>
          </cell>
          <cell r="C351">
            <v>37535</v>
          </cell>
        </row>
        <row r="352">
          <cell r="A352" t="str">
            <v>103360 09</v>
          </cell>
          <cell r="B352">
            <v>10336009</v>
          </cell>
          <cell r="C352">
            <v>37530</v>
          </cell>
        </row>
        <row r="353">
          <cell r="A353" t="str">
            <v>103360 10</v>
          </cell>
          <cell r="B353">
            <v>10336010</v>
          </cell>
          <cell r="C353">
            <v>37535</v>
          </cell>
        </row>
        <row r="354">
          <cell r="A354" t="str">
            <v>103360 11</v>
          </cell>
          <cell r="B354">
            <v>10336011</v>
          </cell>
          <cell r="C354">
            <v>37530</v>
          </cell>
        </row>
        <row r="355">
          <cell r="A355" t="str">
            <v>103360 12</v>
          </cell>
          <cell r="B355">
            <v>10336012</v>
          </cell>
          <cell r="C355">
            <v>37530</v>
          </cell>
        </row>
        <row r="356">
          <cell r="A356" t="str">
            <v>103360 13</v>
          </cell>
          <cell r="B356">
            <v>10336013</v>
          </cell>
          <cell r="C356">
            <v>37535</v>
          </cell>
        </row>
        <row r="357">
          <cell r="A357" t="str">
            <v>103360 14</v>
          </cell>
          <cell r="B357">
            <v>10336014</v>
          </cell>
          <cell r="C357">
            <v>37535</v>
          </cell>
        </row>
        <row r="358">
          <cell r="A358" t="str">
            <v>103360 15</v>
          </cell>
          <cell r="B358">
            <v>10336015</v>
          </cell>
          <cell r="C358">
            <v>37535</v>
          </cell>
        </row>
        <row r="359">
          <cell r="A359" t="str">
            <v>103360 16</v>
          </cell>
          <cell r="B359">
            <v>10336016</v>
          </cell>
          <cell r="C359">
            <v>37535</v>
          </cell>
        </row>
        <row r="360">
          <cell r="A360" t="str">
            <v>103360 17</v>
          </cell>
          <cell r="B360">
            <v>10336017</v>
          </cell>
          <cell r="C360">
            <v>37535</v>
          </cell>
        </row>
        <row r="361">
          <cell r="A361" t="str">
            <v>103360 18</v>
          </cell>
          <cell r="B361">
            <v>10336018</v>
          </cell>
          <cell r="C361">
            <v>37535</v>
          </cell>
        </row>
        <row r="362">
          <cell r="A362" t="str">
            <v>103360 19</v>
          </cell>
          <cell r="B362">
            <v>10336019</v>
          </cell>
          <cell r="C362">
            <v>37535</v>
          </cell>
        </row>
        <row r="363">
          <cell r="A363" t="str">
            <v>103360 20</v>
          </cell>
          <cell r="B363">
            <v>10336020</v>
          </cell>
          <cell r="C363">
            <v>37535</v>
          </cell>
        </row>
        <row r="364">
          <cell r="A364" t="str">
            <v>103360 21</v>
          </cell>
          <cell r="B364">
            <v>10336021</v>
          </cell>
          <cell r="C364">
            <v>37535</v>
          </cell>
        </row>
        <row r="365">
          <cell r="A365" t="str">
            <v>103360 22</v>
          </cell>
          <cell r="B365">
            <v>10336022</v>
          </cell>
          <cell r="C365">
            <v>37535</v>
          </cell>
        </row>
        <row r="366">
          <cell r="A366" t="str">
            <v>103360 23</v>
          </cell>
          <cell r="B366">
            <v>10336023</v>
          </cell>
          <cell r="C366">
            <v>37535</v>
          </cell>
        </row>
        <row r="367">
          <cell r="A367" t="str">
            <v>103360 24</v>
          </cell>
          <cell r="B367">
            <v>10336024</v>
          </cell>
          <cell r="C367">
            <v>37535</v>
          </cell>
        </row>
        <row r="368">
          <cell r="A368" t="str">
            <v>103360 25</v>
          </cell>
          <cell r="B368">
            <v>10336025</v>
          </cell>
          <cell r="C368">
            <v>37535</v>
          </cell>
        </row>
        <row r="369">
          <cell r="A369" t="str">
            <v>103360 26</v>
          </cell>
          <cell r="B369">
            <v>10336026</v>
          </cell>
          <cell r="C369">
            <v>37530</v>
          </cell>
        </row>
        <row r="370">
          <cell r="A370" t="str">
            <v>103360 27</v>
          </cell>
          <cell r="B370">
            <v>10336027</v>
          </cell>
          <cell r="C370">
            <v>37535</v>
          </cell>
        </row>
        <row r="371">
          <cell r="A371" t="str">
            <v>103370 01</v>
          </cell>
          <cell r="B371">
            <v>10337001</v>
          </cell>
          <cell r="C371">
            <v>37535</v>
          </cell>
        </row>
        <row r="372">
          <cell r="A372" t="str">
            <v>103393 01</v>
          </cell>
          <cell r="B372">
            <v>10339301</v>
          </cell>
          <cell r="C372">
            <v>37535</v>
          </cell>
        </row>
        <row r="373">
          <cell r="A373" t="str">
            <v>103403 01</v>
          </cell>
          <cell r="B373">
            <v>10340301</v>
          </cell>
          <cell r="C373">
            <v>37535</v>
          </cell>
        </row>
        <row r="374">
          <cell r="A374" t="str">
            <v>103407 01</v>
          </cell>
          <cell r="B374">
            <v>10340701</v>
          </cell>
          <cell r="C374">
            <v>37535</v>
          </cell>
        </row>
        <row r="375">
          <cell r="A375" t="str">
            <v>103439 01</v>
          </cell>
          <cell r="B375">
            <v>10343901</v>
          </cell>
          <cell r="C375">
            <v>37530</v>
          </cell>
        </row>
        <row r="376">
          <cell r="A376" t="str">
            <v>103440 01</v>
          </cell>
          <cell r="B376">
            <v>10344001</v>
          </cell>
          <cell r="C376">
            <v>37535</v>
          </cell>
        </row>
        <row r="377">
          <cell r="A377" t="str">
            <v>103440 02</v>
          </cell>
          <cell r="B377">
            <v>10344002</v>
          </cell>
          <cell r="C377">
            <v>37535</v>
          </cell>
        </row>
        <row r="378">
          <cell r="A378" t="str">
            <v>103440 03</v>
          </cell>
          <cell r="B378">
            <v>10344003</v>
          </cell>
          <cell r="C378">
            <v>37535</v>
          </cell>
        </row>
        <row r="379">
          <cell r="A379" t="str">
            <v>103445 01</v>
          </cell>
          <cell r="B379">
            <v>10344501</v>
          </cell>
          <cell r="C379">
            <v>37535</v>
          </cell>
        </row>
        <row r="380">
          <cell r="A380" t="str">
            <v>103447 01</v>
          </cell>
          <cell r="B380">
            <v>10344701</v>
          </cell>
          <cell r="C380">
            <v>37535</v>
          </cell>
        </row>
        <row r="381">
          <cell r="A381" t="str">
            <v>103475 01</v>
          </cell>
          <cell r="B381">
            <v>10347501</v>
          </cell>
          <cell r="C381">
            <v>37535</v>
          </cell>
        </row>
        <row r="382">
          <cell r="A382" t="str">
            <v>103485 01</v>
          </cell>
          <cell r="B382">
            <v>10348501</v>
          </cell>
          <cell r="C382">
            <v>37535</v>
          </cell>
        </row>
        <row r="383">
          <cell r="A383" t="str">
            <v>103485 02</v>
          </cell>
          <cell r="B383">
            <v>10348502</v>
          </cell>
          <cell r="C383">
            <v>37535</v>
          </cell>
        </row>
        <row r="384">
          <cell r="A384" t="str">
            <v>103488 01</v>
          </cell>
          <cell r="B384">
            <v>10348801</v>
          </cell>
          <cell r="C384">
            <v>37535</v>
          </cell>
        </row>
        <row r="385">
          <cell r="A385" t="str">
            <v>103488 02</v>
          </cell>
          <cell r="B385">
            <v>10348802</v>
          </cell>
          <cell r="C385">
            <v>37535</v>
          </cell>
        </row>
        <row r="386">
          <cell r="A386" t="str">
            <v>103504 01</v>
          </cell>
          <cell r="B386">
            <v>10350401</v>
          </cell>
          <cell r="C386">
            <v>37530</v>
          </cell>
        </row>
        <row r="387">
          <cell r="A387" t="str">
            <v>103504 02</v>
          </cell>
          <cell r="B387">
            <v>10350402</v>
          </cell>
          <cell r="C387">
            <v>37530</v>
          </cell>
        </row>
        <row r="388">
          <cell r="A388" t="str">
            <v>103517 01</v>
          </cell>
          <cell r="B388">
            <v>10351701</v>
          </cell>
          <cell r="C388">
            <v>37535</v>
          </cell>
        </row>
        <row r="389">
          <cell r="A389" t="str">
            <v>103517 03</v>
          </cell>
          <cell r="B389">
            <v>10351703</v>
          </cell>
          <cell r="C389">
            <v>37535</v>
          </cell>
        </row>
        <row r="390">
          <cell r="A390" t="str">
            <v>103518 01</v>
          </cell>
          <cell r="B390">
            <v>10351801</v>
          </cell>
          <cell r="C390">
            <v>37535</v>
          </cell>
        </row>
        <row r="391">
          <cell r="A391" t="str">
            <v>103518 02</v>
          </cell>
          <cell r="B391">
            <v>10351802</v>
          </cell>
          <cell r="C391">
            <v>37535</v>
          </cell>
        </row>
        <row r="392">
          <cell r="A392" t="str">
            <v>103518 03</v>
          </cell>
          <cell r="B392">
            <v>10351803</v>
          </cell>
          <cell r="C392">
            <v>37535</v>
          </cell>
        </row>
        <row r="393">
          <cell r="A393" t="str">
            <v>103519 01</v>
          </cell>
          <cell r="B393">
            <v>10351901</v>
          </cell>
          <cell r="C393">
            <v>37535</v>
          </cell>
        </row>
        <row r="394">
          <cell r="A394" t="str">
            <v>103523 01</v>
          </cell>
          <cell r="B394">
            <v>10352301</v>
          </cell>
          <cell r="C394">
            <v>37535</v>
          </cell>
        </row>
        <row r="395">
          <cell r="A395" t="str">
            <v>103571 01</v>
          </cell>
          <cell r="B395">
            <v>10357101</v>
          </cell>
          <cell r="C395">
            <v>37535</v>
          </cell>
        </row>
        <row r="396">
          <cell r="A396" t="str">
            <v>103571 02</v>
          </cell>
          <cell r="B396">
            <v>10357102</v>
          </cell>
          <cell r="C396">
            <v>37535</v>
          </cell>
        </row>
        <row r="397">
          <cell r="A397" t="str">
            <v>103572 01</v>
          </cell>
          <cell r="B397">
            <v>10357201</v>
          </cell>
          <cell r="C397">
            <v>37535</v>
          </cell>
        </row>
        <row r="398">
          <cell r="A398" t="str">
            <v>103572 02</v>
          </cell>
          <cell r="B398">
            <v>10357202</v>
          </cell>
          <cell r="C398">
            <v>37535</v>
          </cell>
        </row>
        <row r="399">
          <cell r="A399" t="str">
            <v>103572 10</v>
          </cell>
          <cell r="B399">
            <v>10357210</v>
          </cell>
          <cell r="C399">
            <v>37535</v>
          </cell>
        </row>
        <row r="400">
          <cell r="A400" t="str">
            <v>103577 01</v>
          </cell>
          <cell r="B400">
            <v>10357701</v>
          </cell>
          <cell r="C400">
            <v>37535</v>
          </cell>
        </row>
        <row r="401">
          <cell r="A401" t="str">
            <v>103577 02</v>
          </cell>
          <cell r="B401">
            <v>10357702</v>
          </cell>
          <cell r="C401">
            <v>37535</v>
          </cell>
        </row>
        <row r="402">
          <cell r="A402" t="str">
            <v>103594 01</v>
          </cell>
          <cell r="B402">
            <v>10359401</v>
          </cell>
          <cell r="C402">
            <v>37530</v>
          </cell>
        </row>
        <row r="403">
          <cell r="A403" t="str">
            <v>103594 02</v>
          </cell>
          <cell r="B403">
            <v>10359402</v>
          </cell>
          <cell r="C403">
            <v>37530</v>
          </cell>
        </row>
        <row r="404">
          <cell r="A404" t="str">
            <v>103596 01</v>
          </cell>
          <cell r="B404">
            <v>10359601</v>
          </cell>
          <cell r="C404">
            <v>37535</v>
          </cell>
        </row>
        <row r="405">
          <cell r="A405" t="str">
            <v>103642 01</v>
          </cell>
          <cell r="B405">
            <v>10364201</v>
          </cell>
          <cell r="C405">
            <v>37535</v>
          </cell>
        </row>
        <row r="406">
          <cell r="A406" t="str">
            <v>103663 01</v>
          </cell>
          <cell r="B406">
            <v>10366301</v>
          </cell>
          <cell r="C406">
            <v>37535</v>
          </cell>
        </row>
        <row r="407">
          <cell r="A407" t="str">
            <v>103663 02</v>
          </cell>
          <cell r="B407">
            <v>10366302</v>
          </cell>
          <cell r="C407">
            <v>37535</v>
          </cell>
        </row>
        <row r="408">
          <cell r="A408" t="str">
            <v>103666 01</v>
          </cell>
          <cell r="B408">
            <v>10366601</v>
          </cell>
          <cell r="C408">
            <v>37535</v>
          </cell>
        </row>
        <row r="409">
          <cell r="A409" t="str">
            <v>103701 01</v>
          </cell>
          <cell r="B409">
            <v>10370101</v>
          </cell>
          <cell r="C409">
            <v>37535</v>
          </cell>
        </row>
        <row r="410">
          <cell r="A410" t="str">
            <v>103702 01</v>
          </cell>
          <cell r="B410">
            <v>10370201</v>
          </cell>
          <cell r="C410">
            <v>37535</v>
          </cell>
        </row>
        <row r="411">
          <cell r="A411" t="str">
            <v>103703 01</v>
          </cell>
          <cell r="B411">
            <v>10370301</v>
          </cell>
          <cell r="C411">
            <v>37535</v>
          </cell>
        </row>
        <row r="412">
          <cell r="A412" t="str">
            <v>103739 01</v>
          </cell>
          <cell r="B412">
            <v>10373901</v>
          </cell>
          <cell r="C412">
            <v>37535</v>
          </cell>
        </row>
        <row r="413">
          <cell r="A413" t="str">
            <v>103782 01</v>
          </cell>
          <cell r="B413">
            <v>10378201</v>
          </cell>
          <cell r="C413">
            <v>37535</v>
          </cell>
        </row>
        <row r="414">
          <cell r="A414" t="str">
            <v>103782 02</v>
          </cell>
          <cell r="B414">
            <v>10378202</v>
          </cell>
          <cell r="C414">
            <v>37535</v>
          </cell>
        </row>
        <row r="415">
          <cell r="A415" t="str">
            <v>103953 01</v>
          </cell>
          <cell r="B415">
            <v>10395301</v>
          </cell>
          <cell r="C415">
            <v>37535</v>
          </cell>
        </row>
        <row r="416">
          <cell r="A416" t="str">
            <v>103973 01</v>
          </cell>
          <cell r="B416">
            <v>10397301</v>
          </cell>
          <cell r="C416">
            <v>37530</v>
          </cell>
        </row>
        <row r="417">
          <cell r="A417" t="str">
            <v>104015 01</v>
          </cell>
          <cell r="B417">
            <v>10401501</v>
          </cell>
          <cell r="C417">
            <v>37535</v>
          </cell>
        </row>
        <row r="418">
          <cell r="A418" t="str">
            <v>104055 01</v>
          </cell>
          <cell r="B418">
            <v>10405501</v>
          </cell>
          <cell r="C418">
            <v>37535</v>
          </cell>
        </row>
        <row r="419">
          <cell r="A419" t="str">
            <v>104055 02</v>
          </cell>
          <cell r="B419">
            <v>10405502</v>
          </cell>
          <cell r="C419">
            <v>37535</v>
          </cell>
        </row>
        <row r="420">
          <cell r="A420" t="str">
            <v>104055 03</v>
          </cell>
          <cell r="B420">
            <v>10405503</v>
          </cell>
          <cell r="C420">
            <v>37535</v>
          </cell>
        </row>
        <row r="421">
          <cell r="A421" t="str">
            <v>104055 04</v>
          </cell>
          <cell r="B421">
            <v>10405504</v>
          </cell>
          <cell r="C421">
            <v>37535</v>
          </cell>
        </row>
        <row r="422">
          <cell r="A422" t="str">
            <v>104106 01</v>
          </cell>
          <cell r="B422">
            <v>10410601</v>
          </cell>
          <cell r="C422">
            <v>37535</v>
          </cell>
        </row>
        <row r="423">
          <cell r="A423" t="str">
            <v>104110 01</v>
          </cell>
          <cell r="B423">
            <v>10411001</v>
          </cell>
          <cell r="C423">
            <v>37535</v>
          </cell>
        </row>
        <row r="424">
          <cell r="A424" t="str">
            <v>104115 01</v>
          </cell>
          <cell r="B424">
            <v>10411501</v>
          </cell>
          <cell r="C424">
            <v>37535</v>
          </cell>
        </row>
        <row r="425">
          <cell r="A425" t="str">
            <v>104115 02</v>
          </cell>
          <cell r="B425">
            <v>10411502</v>
          </cell>
          <cell r="C425">
            <v>37535</v>
          </cell>
        </row>
        <row r="426">
          <cell r="A426" t="str">
            <v>104115 03</v>
          </cell>
          <cell r="B426">
            <v>10411503</v>
          </cell>
          <cell r="C426">
            <v>37535</v>
          </cell>
        </row>
        <row r="427">
          <cell r="A427" t="str">
            <v>104115 04</v>
          </cell>
          <cell r="B427">
            <v>10411504</v>
          </cell>
          <cell r="C427">
            <v>37535</v>
          </cell>
        </row>
        <row r="428">
          <cell r="A428" t="str">
            <v>104125 01</v>
          </cell>
          <cell r="B428">
            <v>10412501</v>
          </cell>
          <cell r="C428">
            <v>37535</v>
          </cell>
        </row>
        <row r="429">
          <cell r="A429" t="str">
            <v>104130 01</v>
          </cell>
          <cell r="B429">
            <v>10413001</v>
          </cell>
          <cell r="C429">
            <v>37535</v>
          </cell>
        </row>
        <row r="430">
          <cell r="A430" t="str">
            <v>104130 02</v>
          </cell>
          <cell r="B430">
            <v>10413002</v>
          </cell>
          <cell r="C430">
            <v>37535</v>
          </cell>
        </row>
        <row r="431">
          <cell r="A431" t="str">
            <v>104143 01</v>
          </cell>
          <cell r="B431">
            <v>10414301</v>
          </cell>
          <cell r="C431">
            <v>37535</v>
          </cell>
        </row>
        <row r="432">
          <cell r="A432" t="str">
            <v>104154 01</v>
          </cell>
          <cell r="B432">
            <v>10415401</v>
          </cell>
          <cell r="C432">
            <v>37535</v>
          </cell>
        </row>
        <row r="433">
          <cell r="A433" t="str">
            <v>104156 01</v>
          </cell>
          <cell r="B433">
            <v>10415601</v>
          </cell>
          <cell r="C433">
            <v>37535</v>
          </cell>
        </row>
        <row r="434">
          <cell r="A434" t="str">
            <v>104156 02</v>
          </cell>
          <cell r="B434">
            <v>10415602</v>
          </cell>
          <cell r="C434">
            <v>37535</v>
          </cell>
        </row>
        <row r="435">
          <cell r="A435" t="str">
            <v>104172 01</v>
          </cell>
          <cell r="B435">
            <v>10417201</v>
          </cell>
          <cell r="C435">
            <v>37535</v>
          </cell>
        </row>
        <row r="436">
          <cell r="A436" t="str">
            <v>104172 02</v>
          </cell>
          <cell r="B436">
            <v>10417202</v>
          </cell>
          <cell r="C436">
            <v>37535</v>
          </cell>
        </row>
        <row r="437">
          <cell r="A437" t="str">
            <v>104172 03</v>
          </cell>
          <cell r="B437">
            <v>10417203</v>
          </cell>
          <cell r="C437">
            <v>37535</v>
          </cell>
        </row>
        <row r="438">
          <cell r="A438" t="str">
            <v>104172 04</v>
          </cell>
          <cell r="B438">
            <v>10417204</v>
          </cell>
          <cell r="C438">
            <v>37535</v>
          </cell>
        </row>
        <row r="439">
          <cell r="A439" t="str">
            <v>104172 05</v>
          </cell>
          <cell r="B439">
            <v>10417205</v>
          </cell>
          <cell r="C439">
            <v>37535</v>
          </cell>
        </row>
        <row r="440">
          <cell r="A440" t="str">
            <v>104172 06</v>
          </cell>
          <cell r="B440">
            <v>10417206</v>
          </cell>
          <cell r="C440">
            <v>37535</v>
          </cell>
        </row>
        <row r="441">
          <cell r="A441" t="str">
            <v>104172 07</v>
          </cell>
          <cell r="B441">
            <v>10417207</v>
          </cell>
          <cell r="C441">
            <v>37535</v>
          </cell>
        </row>
        <row r="442">
          <cell r="A442" t="str">
            <v>104172 08</v>
          </cell>
          <cell r="B442">
            <v>10417208</v>
          </cell>
          <cell r="C442">
            <v>37535</v>
          </cell>
        </row>
        <row r="443">
          <cell r="A443" t="str">
            <v>104172 09</v>
          </cell>
          <cell r="B443">
            <v>10417209</v>
          </cell>
          <cell r="C443">
            <v>37535</v>
          </cell>
        </row>
        <row r="444">
          <cell r="A444" t="str">
            <v>104172 10</v>
          </cell>
          <cell r="B444">
            <v>10417210</v>
          </cell>
          <cell r="C444">
            <v>37535</v>
          </cell>
        </row>
        <row r="445">
          <cell r="A445" t="str">
            <v>104172 11</v>
          </cell>
          <cell r="B445">
            <v>10417211</v>
          </cell>
          <cell r="C445">
            <v>37535</v>
          </cell>
        </row>
        <row r="446">
          <cell r="A446" t="str">
            <v>104172 12</v>
          </cell>
          <cell r="B446">
            <v>10417212</v>
          </cell>
          <cell r="C446">
            <v>37535</v>
          </cell>
        </row>
        <row r="447">
          <cell r="A447" t="str">
            <v>104174 01</v>
          </cell>
          <cell r="B447">
            <v>10417401</v>
          </cell>
          <cell r="C447">
            <v>37535</v>
          </cell>
        </row>
        <row r="448">
          <cell r="A448" t="str">
            <v>104232 01</v>
          </cell>
          <cell r="B448">
            <v>10423201</v>
          </cell>
          <cell r="C448">
            <v>37535</v>
          </cell>
        </row>
        <row r="449">
          <cell r="A449" t="str">
            <v>104235 01</v>
          </cell>
          <cell r="B449">
            <v>10423501</v>
          </cell>
          <cell r="C449">
            <v>37535</v>
          </cell>
        </row>
        <row r="450">
          <cell r="A450" t="str">
            <v>104238 01</v>
          </cell>
          <cell r="B450">
            <v>10423801</v>
          </cell>
          <cell r="C450">
            <v>37535</v>
          </cell>
        </row>
        <row r="451">
          <cell r="A451" t="str">
            <v>104248 01</v>
          </cell>
          <cell r="B451">
            <v>10424801</v>
          </cell>
          <cell r="C451">
            <v>37535</v>
          </cell>
        </row>
        <row r="452">
          <cell r="A452" t="str">
            <v>104253 01</v>
          </cell>
          <cell r="B452">
            <v>10425301</v>
          </cell>
          <cell r="C452">
            <v>37535</v>
          </cell>
        </row>
        <row r="453">
          <cell r="A453" t="str">
            <v>104260 01</v>
          </cell>
          <cell r="B453">
            <v>10426001</v>
          </cell>
          <cell r="C453">
            <v>37535</v>
          </cell>
        </row>
        <row r="454">
          <cell r="A454" t="str">
            <v>104302 01</v>
          </cell>
          <cell r="B454">
            <v>10430201</v>
          </cell>
          <cell r="C454">
            <v>37535</v>
          </cell>
        </row>
        <row r="455">
          <cell r="A455" t="str">
            <v>104309 01</v>
          </cell>
          <cell r="B455">
            <v>10430901</v>
          </cell>
          <cell r="C455">
            <v>37535</v>
          </cell>
        </row>
        <row r="456">
          <cell r="A456" t="str">
            <v>104310 01</v>
          </cell>
          <cell r="B456">
            <v>10431001</v>
          </cell>
          <cell r="C456">
            <v>37535</v>
          </cell>
        </row>
        <row r="457">
          <cell r="A457" t="str">
            <v>104322 01</v>
          </cell>
          <cell r="B457">
            <v>10432201</v>
          </cell>
          <cell r="C457">
            <v>37535</v>
          </cell>
        </row>
        <row r="458">
          <cell r="A458" t="str">
            <v>104323 01</v>
          </cell>
          <cell r="B458">
            <v>10432301</v>
          </cell>
          <cell r="C458">
            <v>37535</v>
          </cell>
        </row>
        <row r="459">
          <cell r="A459" t="str">
            <v>104342 01</v>
          </cell>
          <cell r="B459">
            <v>10434201</v>
          </cell>
          <cell r="C459">
            <v>37535</v>
          </cell>
        </row>
        <row r="460">
          <cell r="A460" t="str">
            <v>104343 01</v>
          </cell>
          <cell r="B460">
            <v>10434301</v>
          </cell>
          <cell r="C460">
            <v>37535</v>
          </cell>
        </row>
        <row r="461">
          <cell r="A461" t="str">
            <v>104359 01</v>
          </cell>
          <cell r="B461">
            <v>10435901</v>
          </cell>
          <cell r="C461">
            <v>37535</v>
          </cell>
        </row>
        <row r="462">
          <cell r="A462" t="str">
            <v>104359 02</v>
          </cell>
          <cell r="B462">
            <v>10435902</v>
          </cell>
          <cell r="C462">
            <v>37535</v>
          </cell>
        </row>
        <row r="463">
          <cell r="A463" t="str">
            <v>104359 03</v>
          </cell>
          <cell r="B463">
            <v>10435903</v>
          </cell>
          <cell r="C463">
            <v>37535</v>
          </cell>
        </row>
        <row r="464">
          <cell r="A464" t="str">
            <v>104359 04</v>
          </cell>
          <cell r="B464">
            <v>10435904</v>
          </cell>
          <cell r="C464">
            <v>37535</v>
          </cell>
        </row>
        <row r="465">
          <cell r="A465" t="str">
            <v>104367 01</v>
          </cell>
          <cell r="B465">
            <v>10436701</v>
          </cell>
          <cell r="C465">
            <v>37535</v>
          </cell>
        </row>
        <row r="466">
          <cell r="A466" t="str">
            <v>104369 01</v>
          </cell>
          <cell r="B466">
            <v>10436901</v>
          </cell>
          <cell r="C466">
            <v>37535</v>
          </cell>
        </row>
        <row r="467">
          <cell r="A467" t="str">
            <v>104370 01</v>
          </cell>
          <cell r="B467">
            <v>10437001</v>
          </cell>
          <cell r="C467">
            <v>37535</v>
          </cell>
        </row>
        <row r="468">
          <cell r="A468" t="str">
            <v>104370 02</v>
          </cell>
          <cell r="B468">
            <v>10437002</v>
          </cell>
          <cell r="C468">
            <v>37535</v>
          </cell>
        </row>
        <row r="469">
          <cell r="A469" t="str">
            <v>104370 03</v>
          </cell>
          <cell r="B469">
            <v>10437003</v>
          </cell>
          <cell r="C469">
            <v>37535</v>
          </cell>
        </row>
        <row r="470">
          <cell r="A470" t="str">
            <v>104371 01</v>
          </cell>
          <cell r="B470">
            <v>10437101</v>
          </cell>
          <cell r="C470">
            <v>37535</v>
          </cell>
        </row>
        <row r="471">
          <cell r="A471" t="str">
            <v>104372 01</v>
          </cell>
          <cell r="B471">
            <v>10437201</v>
          </cell>
          <cell r="C471">
            <v>37535</v>
          </cell>
        </row>
        <row r="472">
          <cell r="A472" t="str">
            <v>104374 01</v>
          </cell>
          <cell r="B472">
            <v>10437401</v>
          </cell>
          <cell r="C472">
            <v>37535</v>
          </cell>
        </row>
        <row r="473">
          <cell r="A473" t="str">
            <v>104378 01</v>
          </cell>
          <cell r="B473">
            <v>10437801</v>
          </cell>
          <cell r="C473">
            <v>37535</v>
          </cell>
        </row>
        <row r="474">
          <cell r="A474" t="str">
            <v>104385 01</v>
          </cell>
          <cell r="B474">
            <v>10438501</v>
          </cell>
          <cell r="C474">
            <v>37535</v>
          </cell>
        </row>
        <row r="475">
          <cell r="A475" t="str">
            <v>104386 01</v>
          </cell>
          <cell r="B475">
            <v>10438601</v>
          </cell>
          <cell r="C475">
            <v>37535</v>
          </cell>
        </row>
        <row r="476">
          <cell r="A476" t="str">
            <v>104386 02</v>
          </cell>
          <cell r="B476">
            <v>10438602</v>
          </cell>
          <cell r="C476">
            <v>37535</v>
          </cell>
        </row>
        <row r="477">
          <cell r="A477" t="str">
            <v>104398 01</v>
          </cell>
          <cell r="B477">
            <v>10439801</v>
          </cell>
          <cell r="C477">
            <v>37535</v>
          </cell>
        </row>
        <row r="478">
          <cell r="A478" t="str">
            <v>104429 01</v>
          </cell>
          <cell r="B478">
            <v>10442901</v>
          </cell>
          <cell r="C478">
            <v>37535</v>
          </cell>
        </row>
        <row r="479">
          <cell r="A479" t="str">
            <v>104493 01</v>
          </cell>
          <cell r="B479">
            <v>10449301</v>
          </cell>
          <cell r="C479">
            <v>37535</v>
          </cell>
        </row>
        <row r="480">
          <cell r="A480" t="str">
            <v>104497 01</v>
          </cell>
          <cell r="B480">
            <v>10449701</v>
          </cell>
          <cell r="C480">
            <v>37535</v>
          </cell>
        </row>
        <row r="481">
          <cell r="A481" t="str">
            <v>104497 02</v>
          </cell>
          <cell r="B481">
            <v>10449702</v>
          </cell>
          <cell r="C481">
            <v>37535</v>
          </cell>
        </row>
        <row r="482">
          <cell r="A482" t="str">
            <v>104535 01</v>
          </cell>
          <cell r="B482">
            <v>10453501</v>
          </cell>
          <cell r="C482">
            <v>37535</v>
          </cell>
        </row>
        <row r="483">
          <cell r="A483" t="str">
            <v>104548 01</v>
          </cell>
          <cell r="B483">
            <v>10454801</v>
          </cell>
          <cell r="C483">
            <v>37535</v>
          </cell>
        </row>
        <row r="484">
          <cell r="A484" t="str">
            <v>104557 01</v>
          </cell>
          <cell r="B484">
            <v>10455701</v>
          </cell>
          <cell r="C484">
            <v>37535</v>
          </cell>
        </row>
        <row r="485">
          <cell r="A485" t="str">
            <v>104567 01</v>
          </cell>
          <cell r="B485">
            <v>10456701</v>
          </cell>
          <cell r="C485">
            <v>37535</v>
          </cell>
        </row>
        <row r="486">
          <cell r="A486" t="str">
            <v>104577 01</v>
          </cell>
          <cell r="B486">
            <v>10457701</v>
          </cell>
          <cell r="C486">
            <v>37535</v>
          </cell>
        </row>
        <row r="487">
          <cell r="A487" t="str">
            <v>104593 01</v>
          </cell>
          <cell r="B487">
            <v>10459301</v>
          </cell>
          <cell r="C487">
            <v>37535</v>
          </cell>
        </row>
        <row r="488">
          <cell r="A488" t="str">
            <v>104608 01</v>
          </cell>
          <cell r="B488">
            <v>10460801</v>
          </cell>
          <cell r="C488">
            <v>37535</v>
          </cell>
        </row>
        <row r="489">
          <cell r="A489" t="str">
            <v>104620 01</v>
          </cell>
          <cell r="B489">
            <v>10462001</v>
          </cell>
          <cell r="C489">
            <v>37535</v>
          </cell>
        </row>
        <row r="490">
          <cell r="A490" t="str">
            <v>104620 02</v>
          </cell>
          <cell r="B490">
            <v>10462002</v>
          </cell>
          <cell r="C490">
            <v>37535</v>
          </cell>
        </row>
        <row r="491">
          <cell r="A491" t="str">
            <v>104620 03</v>
          </cell>
          <cell r="B491">
            <v>10462003</v>
          </cell>
          <cell r="C491">
            <v>37535</v>
          </cell>
        </row>
        <row r="492">
          <cell r="A492" t="str">
            <v>104634 01</v>
          </cell>
          <cell r="B492">
            <v>10463401</v>
          </cell>
          <cell r="C492">
            <v>37535</v>
          </cell>
        </row>
        <row r="493">
          <cell r="A493" t="str">
            <v>104634 02</v>
          </cell>
          <cell r="B493">
            <v>10463402</v>
          </cell>
          <cell r="C493">
            <v>37535</v>
          </cell>
        </row>
        <row r="494">
          <cell r="A494" t="str">
            <v>104634 03</v>
          </cell>
          <cell r="B494">
            <v>10463403</v>
          </cell>
          <cell r="C494">
            <v>37535</v>
          </cell>
        </row>
        <row r="495">
          <cell r="A495" t="str">
            <v>104634 04</v>
          </cell>
          <cell r="B495">
            <v>10463404</v>
          </cell>
          <cell r="C495">
            <v>37535</v>
          </cell>
        </row>
        <row r="496">
          <cell r="A496" t="str">
            <v>104634 05</v>
          </cell>
          <cell r="B496">
            <v>10463405</v>
          </cell>
          <cell r="C496">
            <v>37535</v>
          </cell>
        </row>
        <row r="497">
          <cell r="A497" t="str">
            <v>104634 06</v>
          </cell>
          <cell r="B497">
            <v>10463406</v>
          </cell>
          <cell r="C497">
            <v>37535</v>
          </cell>
        </row>
        <row r="498">
          <cell r="A498" t="str">
            <v>104635 01</v>
          </cell>
          <cell r="B498">
            <v>10463501</v>
          </cell>
          <cell r="C498">
            <v>37535</v>
          </cell>
        </row>
        <row r="499">
          <cell r="A499" t="str">
            <v>104635 02</v>
          </cell>
          <cell r="B499">
            <v>10463502</v>
          </cell>
          <cell r="C499">
            <v>37535</v>
          </cell>
        </row>
        <row r="500">
          <cell r="A500" t="str">
            <v>104635 03</v>
          </cell>
          <cell r="B500">
            <v>10463503</v>
          </cell>
          <cell r="C500">
            <v>37535</v>
          </cell>
        </row>
        <row r="501">
          <cell r="A501" t="str">
            <v>104635 04</v>
          </cell>
          <cell r="B501">
            <v>10463504</v>
          </cell>
          <cell r="C501">
            <v>37535</v>
          </cell>
        </row>
        <row r="502">
          <cell r="A502" t="str">
            <v>104636 01</v>
          </cell>
          <cell r="B502">
            <v>10463601</v>
          </cell>
          <cell r="C502">
            <v>37530</v>
          </cell>
        </row>
        <row r="503">
          <cell r="A503" t="str">
            <v>104660 01</v>
          </cell>
          <cell r="B503">
            <v>10466001</v>
          </cell>
          <cell r="C503">
            <v>37535</v>
          </cell>
        </row>
        <row r="504">
          <cell r="A504" t="str">
            <v>104677 01</v>
          </cell>
          <cell r="B504">
            <v>10467701</v>
          </cell>
          <cell r="C504">
            <v>37535</v>
          </cell>
        </row>
        <row r="505">
          <cell r="A505" t="str">
            <v>104684 01</v>
          </cell>
          <cell r="B505">
            <v>10468401</v>
          </cell>
          <cell r="C505">
            <v>37535</v>
          </cell>
        </row>
        <row r="506">
          <cell r="A506" t="str">
            <v>104702 01</v>
          </cell>
          <cell r="B506">
            <v>10470201</v>
          </cell>
          <cell r="C506">
            <v>37535</v>
          </cell>
        </row>
        <row r="507">
          <cell r="A507" t="str">
            <v>104702 02</v>
          </cell>
          <cell r="B507">
            <v>10470202</v>
          </cell>
          <cell r="C507">
            <v>37535</v>
          </cell>
        </row>
        <row r="508">
          <cell r="A508" t="str">
            <v>104702 03</v>
          </cell>
          <cell r="B508">
            <v>10470203</v>
          </cell>
          <cell r="C508">
            <v>37535</v>
          </cell>
        </row>
        <row r="509">
          <cell r="A509" t="str">
            <v>104702 04</v>
          </cell>
          <cell r="B509">
            <v>10470204</v>
          </cell>
          <cell r="C509">
            <v>37535</v>
          </cell>
        </row>
        <row r="510">
          <cell r="A510" t="str">
            <v>104706 01</v>
          </cell>
          <cell r="B510">
            <v>10470601</v>
          </cell>
          <cell r="C510">
            <v>37535</v>
          </cell>
        </row>
        <row r="511">
          <cell r="A511" t="str">
            <v>104731 01</v>
          </cell>
          <cell r="B511">
            <v>10473101</v>
          </cell>
          <cell r="C511">
            <v>37535</v>
          </cell>
        </row>
        <row r="512">
          <cell r="A512" t="str">
            <v>104733 01</v>
          </cell>
          <cell r="B512">
            <v>10473301</v>
          </cell>
          <cell r="C512">
            <v>37535</v>
          </cell>
        </row>
        <row r="513">
          <cell r="A513" t="str">
            <v>104733 02</v>
          </cell>
          <cell r="B513">
            <v>10473302</v>
          </cell>
          <cell r="C513">
            <v>37535</v>
          </cell>
        </row>
        <row r="514">
          <cell r="A514" t="str">
            <v>104748 01</v>
          </cell>
          <cell r="B514">
            <v>10474801</v>
          </cell>
          <cell r="C514">
            <v>37535</v>
          </cell>
        </row>
        <row r="515">
          <cell r="A515" t="str">
            <v>104789 01</v>
          </cell>
          <cell r="B515">
            <v>10478901</v>
          </cell>
          <cell r="C515">
            <v>37535</v>
          </cell>
        </row>
        <row r="516">
          <cell r="A516" t="str">
            <v>104793 01</v>
          </cell>
          <cell r="B516">
            <v>10479301</v>
          </cell>
          <cell r="C516">
            <v>37530</v>
          </cell>
        </row>
        <row r="517">
          <cell r="A517" t="str">
            <v>104806 01</v>
          </cell>
          <cell r="B517">
            <v>10480601</v>
          </cell>
          <cell r="C517">
            <v>37535</v>
          </cell>
        </row>
        <row r="518">
          <cell r="A518" t="str">
            <v>104831 01</v>
          </cell>
          <cell r="B518">
            <v>10483101</v>
          </cell>
          <cell r="C518">
            <v>37530</v>
          </cell>
        </row>
        <row r="519">
          <cell r="A519" t="str">
            <v>104831 02</v>
          </cell>
          <cell r="B519">
            <v>10483102</v>
          </cell>
          <cell r="C519">
            <v>37535</v>
          </cell>
        </row>
        <row r="520">
          <cell r="A520" t="str">
            <v>104831 03</v>
          </cell>
          <cell r="B520">
            <v>10483103</v>
          </cell>
          <cell r="C520">
            <v>37535</v>
          </cell>
        </row>
        <row r="521">
          <cell r="A521" t="str">
            <v>104831 04</v>
          </cell>
          <cell r="B521">
            <v>10483104</v>
          </cell>
          <cell r="C521">
            <v>37535</v>
          </cell>
        </row>
        <row r="522">
          <cell r="A522" t="str">
            <v>104831 05</v>
          </cell>
          <cell r="B522">
            <v>10483105</v>
          </cell>
          <cell r="C522">
            <v>37535</v>
          </cell>
        </row>
        <row r="523">
          <cell r="A523" t="str">
            <v>104831 06</v>
          </cell>
          <cell r="B523">
            <v>10483106</v>
          </cell>
          <cell r="C523">
            <v>37530</v>
          </cell>
        </row>
        <row r="524">
          <cell r="A524" t="str">
            <v>104831 07</v>
          </cell>
          <cell r="B524">
            <v>10483107</v>
          </cell>
          <cell r="C524">
            <v>37535</v>
          </cell>
        </row>
        <row r="525">
          <cell r="A525" t="str">
            <v>104831 08</v>
          </cell>
          <cell r="B525">
            <v>10483108</v>
          </cell>
          <cell r="C525">
            <v>37535</v>
          </cell>
        </row>
        <row r="526">
          <cell r="A526" t="str">
            <v>104831 10</v>
          </cell>
          <cell r="B526">
            <v>10483110</v>
          </cell>
          <cell r="C526">
            <v>37535</v>
          </cell>
        </row>
        <row r="527">
          <cell r="A527" t="str">
            <v>104835 01</v>
          </cell>
          <cell r="B527">
            <v>10483501</v>
          </cell>
          <cell r="C527">
            <v>37535</v>
          </cell>
        </row>
        <row r="528">
          <cell r="A528" t="str">
            <v>104842 01</v>
          </cell>
          <cell r="B528">
            <v>10484201</v>
          </cell>
          <cell r="C528">
            <v>37535</v>
          </cell>
        </row>
        <row r="529">
          <cell r="A529" t="str">
            <v>104845 01</v>
          </cell>
          <cell r="B529">
            <v>10484501</v>
          </cell>
          <cell r="C529">
            <v>37535</v>
          </cell>
        </row>
        <row r="530">
          <cell r="A530" t="str">
            <v>104854 01</v>
          </cell>
          <cell r="B530">
            <v>10485401</v>
          </cell>
          <cell r="C530">
            <v>37535</v>
          </cell>
        </row>
        <row r="531">
          <cell r="A531" t="str">
            <v>104854 02</v>
          </cell>
          <cell r="B531">
            <v>10485402</v>
          </cell>
          <cell r="C531">
            <v>37535</v>
          </cell>
        </row>
        <row r="532">
          <cell r="A532" t="str">
            <v>104854 03</v>
          </cell>
          <cell r="B532">
            <v>10485403</v>
          </cell>
          <cell r="C532">
            <v>37535</v>
          </cell>
        </row>
        <row r="533">
          <cell r="A533" t="str">
            <v>104856 01</v>
          </cell>
          <cell r="B533">
            <v>10485601</v>
          </cell>
          <cell r="C533">
            <v>37535</v>
          </cell>
        </row>
        <row r="534">
          <cell r="A534" t="str">
            <v>104858 01</v>
          </cell>
          <cell r="B534">
            <v>10485801</v>
          </cell>
          <cell r="C534">
            <v>37535</v>
          </cell>
        </row>
        <row r="535">
          <cell r="A535" t="str">
            <v>104860 01</v>
          </cell>
          <cell r="B535">
            <v>10486001</v>
          </cell>
          <cell r="C535">
            <v>37535</v>
          </cell>
        </row>
        <row r="536">
          <cell r="A536" t="str">
            <v>104860 02</v>
          </cell>
          <cell r="B536">
            <v>10486002</v>
          </cell>
          <cell r="C536">
            <v>37535</v>
          </cell>
        </row>
        <row r="537">
          <cell r="A537" t="str">
            <v>104883 01</v>
          </cell>
          <cell r="B537">
            <v>10488301</v>
          </cell>
          <cell r="C537">
            <v>37535</v>
          </cell>
        </row>
        <row r="538">
          <cell r="A538" t="str">
            <v>104884 01</v>
          </cell>
          <cell r="B538">
            <v>10488401</v>
          </cell>
          <cell r="C538">
            <v>37535</v>
          </cell>
        </row>
        <row r="539">
          <cell r="A539" t="str">
            <v>104891 01</v>
          </cell>
          <cell r="B539">
            <v>10489101</v>
          </cell>
          <cell r="C539">
            <v>37535</v>
          </cell>
        </row>
        <row r="540">
          <cell r="A540" t="str">
            <v>104904 01</v>
          </cell>
          <cell r="B540">
            <v>10490401</v>
          </cell>
          <cell r="C540">
            <v>37535</v>
          </cell>
        </row>
        <row r="541">
          <cell r="A541" t="str">
            <v>104910 01</v>
          </cell>
          <cell r="B541">
            <v>10491001</v>
          </cell>
          <cell r="C541">
            <v>37535</v>
          </cell>
        </row>
        <row r="542">
          <cell r="A542" t="str">
            <v>104924 01</v>
          </cell>
          <cell r="B542">
            <v>10492401</v>
          </cell>
          <cell r="C542">
            <v>37535</v>
          </cell>
        </row>
        <row r="543">
          <cell r="A543" t="str">
            <v>104932 01</v>
          </cell>
          <cell r="B543">
            <v>10493201</v>
          </cell>
          <cell r="C543">
            <v>37535</v>
          </cell>
        </row>
        <row r="544">
          <cell r="A544" t="str">
            <v>104932 02</v>
          </cell>
          <cell r="B544">
            <v>10493202</v>
          </cell>
          <cell r="C544">
            <v>37535</v>
          </cell>
        </row>
        <row r="545">
          <cell r="A545" t="str">
            <v>104936 01</v>
          </cell>
          <cell r="B545">
            <v>10493601</v>
          </cell>
          <cell r="C545">
            <v>37535</v>
          </cell>
        </row>
        <row r="546">
          <cell r="A546" t="str">
            <v>104942 01</v>
          </cell>
          <cell r="B546">
            <v>10494201</v>
          </cell>
          <cell r="C546">
            <v>37535</v>
          </cell>
        </row>
        <row r="547">
          <cell r="A547" t="str">
            <v>104961 01</v>
          </cell>
          <cell r="B547">
            <v>10496101</v>
          </cell>
          <cell r="C547">
            <v>37535</v>
          </cell>
        </row>
        <row r="548">
          <cell r="A548" t="str">
            <v>104962 01</v>
          </cell>
          <cell r="B548">
            <v>10496201</v>
          </cell>
          <cell r="C548">
            <v>37535</v>
          </cell>
        </row>
        <row r="549">
          <cell r="A549" t="str">
            <v>104967 01</v>
          </cell>
          <cell r="B549">
            <v>10496701</v>
          </cell>
          <cell r="C549">
            <v>37535</v>
          </cell>
        </row>
        <row r="550">
          <cell r="A550" t="str">
            <v>104997 01</v>
          </cell>
          <cell r="B550">
            <v>10499701</v>
          </cell>
          <cell r="C550">
            <v>37535</v>
          </cell>
        </row>
        <row r="551">
          <cell r="A551" t="str">
            <v>104997 02</v>
          </cell>
          <cell r="B551">
            <v>10499702</v>
          </cell>
          <cell r="C551">
            <v>37535</v>
          </cell>
        </row>
        <row r="552">
          <cell r="A552" t="str">
            <v>105001 01</v>
          </cell>
          <cell r="B552">
            <v>10500101</v>
          </cell>
          <cell r="C552">
            <v>37535</v>
          </cell>
        </row>
        <row r="553">
          <cell r="A553" t="str">
            <v>105001 02</v>
          </cell>
          <cell r="B553">
            <v>10500102</v>
          </cell>
          <cell r="C553">
            <v>37530</v>
          </cell>
        </row>
        <row r="554">
          <cell r="A554" t="str">
            <v>105001 03</v>
          </cell>
          <cell r="B554">
            <v>10500103</v>
          </cell>
          <cell r="C554">
            <v>37535</v>
          </cell>
        </row>
        <row r="555">
          <cell r="A555" t="str">
            <v>105001 04</v>
          </cell>
          <cell r="B555">
            <v>10500104</v>
          </cell>
          <cell r="C555">
            <v>37535</v>
          </cell>
        </row>
        <row r="556">
          <cell r="A556" t="str">
            <v>105001 05</v>
          </cell>
          <cell r="B556">
            <v>10500105</v>
          </cell>
          <cell r="C556">
            <v>37530</v>
          </cell>
        </row>
        <row r="557">
          <cell r="A557" t="str">
            <v>105010 01</v>
          </cell>
          <cell r="B557">
            <v>10501001</v>
          </cell>
          <cell r="C557">
            <v>37535</v>
          </cell>
        </row>
        <row r="558">
          <cell r="A558" t="str">
            <v>105018 01</v>
          </cell>
          <cell r="B558">
            <v>10501801</v>
          </cell>
          <cell r="C558">
            <v>37535</v>
          </cell>
        </row>
        <row r="559">
          <cell r="A559" t="str">
            <v>105019 01</v>
          </cell>
          <cell r="B559">
            <v>10501901</v>
          </cell>
          <cell r="C559">
            <v>37530</v>
          </cell>
        </row>
        <row r="560">
          <cell r="A560" t="str">
            <v>105019 02</v>
          </cell>
          <cell r="B560">
            <v>10501902</v>
          </cell>
          <cell r="C560">
            <v>37530</v>
          </cell>
        </row>
        <row r="561">
          <cell r="A561" t="str">
            <v>105019 03</v>
          </cell>
          <cell r="B561">
            <v>10501903</v>
          </cell>
          <cell r="C561">
            <v>37530</v>
          </cell>
        </row>
        <row r="562">
          <cell r="A562" t="str">
            <v>105024 01</v>
          </cell>
          <cell r="B562">
            <v>10502401</v>
          </cell>
          <cell r="C562">
            <v>37535</v>
          </cell>
        </row>
        <row r="563">
          <cell r="A563" t="str">
            <v>105033 01</v>
          </cell>
          <cell r="B563">
            <v>10503301</v>
          </cell>
          <cell r="C563">
            <v>37535</v>
          </cell>
        </row>
        <row r="564">
          <cell r="A564" t="str">
            <v>105034 01</v>
          </cell>
          <cell r="B564">
            <v>10503401</v>
          </cell>
          <cell r="C564">
            <v>37535</v>
          </cell>
        </row>
        <row r="565">
          <cell r="A565" t="str">
            <v>105047 01</v>
          </cell>
          <cell r="B565">
            <v>10504701</v>
          </cell>
          <cell r="C565">
            <v>37535</v>
          </cell>
        </row>
        <row r="566">
          <cell r="A566" t="str">
            <v>105064 01</v>
          </cell>
          <cell r="B566">
            <v>10506401</v>
          </cell>
          <cell r="C566">
            <v>37530</v>
          </cell>
        </row>
        <row r="567">
          <cell r="A567" t="str">
            <v>105112 01</v>
          </cell>
          <cell r="B567">
            <v>10511201</v>
          </cell>
          <cell r="C567">
            <v>37535</v>
          </cell>
        </row>
        <row r="568">
          <cell r="A568" t="str">
            <v>105198 01</v>
          </cell>
          <cell r="B568">
            <v>10519801</v>
          </cell>
          <cell r="C568">
            <v>37530</v>
          </cell>
        </row>
        <row r="569">
          <cell r="A569" t="str">
            <v>105198 02</v>
          </cell>
          <cell r="B569">
            <v>10519802</v>
          </cell>
          <cell r="C569">
            <v>37530</v>
          </cell>
        </row>
        <row r="570">
          <cell r="A570" t="str">
            <v>105222 01</v>
          </cell>
          <cell r="B570">
            <v>10522201</v>
          </cell>
          <cell r="C570">
            <v>37535</v>
          </cell>
        </row>
        <row r="571">
          <cell r="A571" t="str">
            <v>105363 01</v>
          </cell>
          <cell r="B571">
            <v>10536301</v>
          </cell>
          <cell r="C571">
            <v>37535</v>
          </cell>
        </row>
        <row r="572">
          <cell r="A572" t="str">
            <v>105380 01</v>
          </cell>
          <cell r="B572">
            <v>10538001</v>
          </cell>
          <cell r="C572">
            <v>37535</v>
          </cell>
        </row>
        <row r="573">
          <cell r="A573" t="str">
            <v>105401 01</v>
          </cell>
          <cell r="B573">
            <v>10540101</v>
          </cell>
          <cell r="C573">
            <v>37535</v>
          </cell>
        </row>
        <row r="574">
          <cell r="A574" t="str">
            <v>105401 02</v>
          </cell>
          <cell r="B574">
            <v>10540102</v>
          </cell>
          <cell r="C574">
            <v>37535</v>
          </cell>
        </row>
        <row r="575">
          <cell r="A575" t="str">
            <v>105401 03</v>
          </cell>
          <cell r="B575">
            <v>10540103</v>
          </cell>
          <cell r="C575">
            <v>37535</v>
          </cell>
        </row>
        <row r="576">
          <cell r="A576" t="str">
            <v>105401 04</v>
          </cell>
          <cell r="B576">
            <v>10540104</v>
          </cell>
          <cell r="C576">
            <v>37535</v>
          </cell>
        </row>
        <row r="577">
          <cell r="A577" t="str">
            <v>105520 01</v>
          </cell>
          <cell r="B577">
            <v>10552001</v>
          </cell>
          <cell r="C577">
            <v>37535</v>
          </cell>
        </row>
        <row r="578">
          <cell r="A578" t="str">
            <v>105520 02</v>
          </cell>
          <cell r="B578">
            <v>10552002</v>
          </cell>
          <cell r="C578">
            <v>37530</v>
          </cell>
        </row>
        <row r="579">
          <cell r="A579" t="str">
            <v>105521 01</v>
          </cell>
          <cell r="B579">
            <v>10552101</v>
          </cell>
          <cell r="C579">
            <v>37535</v>
          </cell>
        </row>
        <row r="580">
          <cell r="A580" t="str">
            <v>105521 02</v>
          </cell>
          <cell r="B580">
            <v>10552102</v>
          </cell>
          <cell r="C580">
            <v>37535</v>
          </cell>
        </row>
        <row r="581">
          <cell r="A581" t="str">
            <v>105521 03</v>
          </cell>
          <cell r="B581">
            <v>10552103</v>
          </cell>
          <cell r="C581">
            <v>37535</v>
          </cell>
        </row>
        <row r="582">
          <cell r="A582" t="str">
            <v>105524 01</v>
          </cell>
          <cell r="B582">
            <v>10552401</v>
          </cell>
          <cell r="C582">
            <v>37535</v>
          </cell>
        </row>
        <row r="583">
          <cell r="A583" t="str">
            <v>105524 02</v>
          </cell>
          <cell r="B583">
            <v>10552402</v>
          </cell>
          <cell r="C583">
            <v>37535</v>
          </cell>
        </row>
        <row r="584">
          <cell r="A584" t="str">
            <v>105524 03</v>
          </cell>
          <cell r="B584">
            <v>10552403</v>
          </cell>
          <cell r="C584">
            <v>37535</v>
          </cell>
        </row>
        <row r="585">
          <cell r="A585" t="str">
            <v>105524 04</v>
          </cell>
          <cell r="B585">
            <v>10552404</v>
          </cell>
          <cell r="C585">
            <v>37535</v>
          </cell>
        </row>
        <row r="586">
          <cell r="A586" t="str">
            <v>105557 01</v>
          </cell>
          <cell r="B586">
            <v>10555701</v>
          </cell>
          <cell r="C586">
            <v>37530</v>
          </cell>
        </row>
        <row r="587">
          <cell r="A587" t="str">
            <v>105571 01</v>
          </cell>
          <cell r="B587">
            <v>10557101</v>
          </cell>
          <cell r="C587">
            <v>37535</v>
          </cell>
        </row>
        <row r="588">
          <cell r="A588" t="str">
            <v>105588 01</v>
          </cell>
          <cell r="B588">
            <v>10558801</v>
          </cell>
          <cell r="C588">
            <v>37535</v>
          </cell>
        </row>
        <row r="589">
          <cell r="A589" t="str">
            <v>105589 01</v>
          </cell>
          <cell r="B589">
            <v>10558901</v>
          </cell>
          <cell r="C589">
            <v>37535</v>
          </cell>
        </row>
        <row r="590">
          <cell r="A590" t="str">
            <v>105616 01</v>
          </cell>
          <cell r="B590">
            <v>10561601</v>
          </cell>
          <cell r="C590">
            <v>37535</v>
          </cell>
        </row>
        <row r="591">
          <cell r="A591" t="str">
            <v>105627 01</v>
          </cell>
          <cell r="B591">
            <v>10562701</v>
          </cell>
          <cell r="C591">
            <v>37535</v>
          </cell>
        </row>
        <row r="592">
          <cell r="A592" t="str">
            <v>105630 01</v>
          </cell>
          <cell r="B592">
            <v>10563001</v>
          </cell>
          <cell r="C592">
            <v>37535</v>
          </cell>
        </row>
        <row r="593">
          <cell r="A593" t="str">
            <v>105630 02</v>
          </cell>
          <cell r="B593">
            <v>10563002</v>
          </cell>
          <cell r="C593">
            <v>37535</v>
          </cell>
        </row>
        <row r="594">
          <cell r="A594" t="str">
            <v>105630 03</v>
          </cell>
          <cell r="B594">
            <v>10563003</v>
          </cell>
          <cell r="C594">
            <v>37535</v>
          </cell>
        </row>
        <row r="595">
          <cell r="A595" t="str">
            <v>105630 04</v>
          </cell>
          <cell r="B595">
            <v>10563004</v>
          </cell>
          <cell r="C595">
            <v>37535</v>
          </cell>
        </row>
        <row r="596">
          <cell r="A596" t="str">
            <v>105631 01</v>
          </cell>
          <cell r="B596">
            <v>10563101</v>
          </cell>
          <cell r="C596">
            <v>37530</v>
          </cell>
        </row>
        <row r="597">
          <cell r="A597" t="str">
            <v>105650 01</v>
          </cell>
          <cell r="B597">
            <v>10565001</v>
          </cell>
          <cell r="C597">
            <v>37535</v>
          </cell>
        </row>
        <row r="598">
          <cell r="A598" t="str">
            <v>105650 02</v>
          </cell>
          <cell r="B598">
            <v>10565002</v>
          </cell>
          <cell r="C598">
            <v>37535</v>
          </cell>
        </row>
        <row r="599">
          <cell r="A599" t="str">
            <v>105651 01</v>
          </cell>
          <cell r="B599">
            <v>10565101</v>
          </cell>
          <cell r="C599">
            <v>37535</v>
          </cell>
        </row>
        <row r="600">
          <cell r="A600" t="str">
            <v>105651 02</v>
          </cell>
          <cell r="B600">
            <v>10565102</v>
          </cell>
          <cell r="C600">
            <v>37535</v>
          </cell>
        </row>
        <row r="601">
          <cell r="A601" t="str">
            <v>105657 01</v>
          </cell>
          <cell r="B601">
            <v>10565701</v>
          </cell>
          <cell r="C601">
            <v>37535</v>
          </cell>
        </row>
        <row r="602">
          <cell r="A602" t="str">
            <v>105662 01</v>
          </cell>
          <cell r="B602">
            <v>10566201</v>
          </cell>
          <cell r="C602">
            <v>37535</v>
          </cell>
        </row>
        <row r="603">
          <cell r="A603" t="str">
            <v>105663 01</v>
          </cell>
          <cell r="B603">
            <v>10566301</v>
          </cell>
          <cell r="C603">
            <v>37535</v>
          </cell>
        </row>
        <row r="604">
          <cell r="A604" t="str">
            <v>105665 01</v>
          </cell>
          <cell r="B604">
            <v>10566501</v>
          </cell>
          <cell r="C604">
            <v>37530</v>
          </cell>
        </row>
        <row r="605">
          <cell r="A605" t="str">
            <v>105665 02</v>
          </cell>
          <cell r="B605">
            <v>10566502</v>
          </cell>
          <cell r="C605">
            <v>37530</v>
          </cell>
        </row>
        <row r="606">
          <cell r="A606" t="str">
            <v>105668 01</v>
          </cell>
          <cell r="B606">
            <v>10566801</v>
          </cell>
          <cell r="C606">
            <v>37535</v>
          </cell>
        </row>
        <row r="607">
          <cell r="A607" t="str">
            <v>105669 01</v>
          </cell>
          <cell r="B607">
            <v>10566901</v>
          </cell>
          <cell r="C607">
            <v>37535</v>
          </cell>
        </row>
        <row r="608">
          <cell r="A608" t="str">
            <v>105727 01</v>
          </cell>
          <cell r="B608">
            <v>10572701</v>
          </cell>
          <cell r="C608">
            <v>37535</v>
          </cell>
        </row>
        <row r="609">
          <cell r="A609" t="str">
            <v>105727 02</v>
          </cell>
          <cell r="B609">
            <v>10572702</v>
          </cell>
          <cell r="C609">
            <v>37535</v>
          </cell>
        </row>
        <row r="610">
          <cell r="A610" t="str">
            <v>105727 03</v>
          </cell>
          <cell r="B610">
            <v>10572703</v>
          </cell>
          <cell r="C610">
            <v>37535</v>
          </cell>
        </row>
        <row r="611">
          <cell r="A611" t="str">
            <v>105727 04</v>
          </cell>
          <cell r="B611">
            <v>10572704</v>
          </cell>
          <cell r="C611">
            <v>37535</v>
          </cell>
        </row>
        <row r="612">
          <cell r="A612" t="str">
            <v>105728 01</v>
          </cell>
          <cell r="B612">
            <v>10572801</v>
          </cell>
          <cell r="C612">
            <v>37535</v>
          </cell>
        </row>
        <row r="613">
          <cell r="A613" t="str">
            <v>105747 01</v>
          </cell>
          <cell r="B613">
            <v>10574701</v>
          </cell>
          <cell r="C613">
            <v>37535</v>
          </cell>
        </row>
        <row r="614">
          <cell r="A614" t="str">
            <v>105754 01</v>
          </cell>
          <cell r="B614">
            <v>10575401</v>
          </cell>
          <cell r="C614">
            <v>37535</v>
          </cell>
        </row>
        <row r="615">
          <cell r="A615" t="str">
            <v>105759 01</v>
          </cell>
          <cell r="B615">
            <v>10575901</v>
          </cell>
          <cell r="C615">
            <v>37535</v>
          </cell>
        </row>
        <row r="616">
          <cell r="A616" t="str">
            <v>105759 02</v>
          </cell>
          <cell r="B616">
            <v>10575902</v>
          </cell>
          <cell r="C616">
            <v>37535</v>
          </cell>
        </row>
        <row r="617">
          <cell r="A617" t="str">
            <v>105759 03</v>
          </cell>
          <cell r="B617">
            <v>10575903</v>
          </cell>
          <cell r="C617">
            <v>37535</v>
          </cell>
        </row>
        <row r="618">
          <cell r="A618" t="str">
            <v>105759 04</v>
          </cell>
          <cell r="B618">
            <v>10575904</v>
          </cell>
          <cell r="C618">
            <v>37535</v>
          </cell>
        </row>
        <row r="619">
          <cell r="A619" t="str">
            <v>105759 05</v>
          </cell>
          <cell r="B619">
            <v>10575905</v>
          </cell>
          <cell r="C619">
            <v>37535</v>
          </cell>
        </row>
        <row r="620">
          <cell r="A620" t="str">
            <v>105759 06</v>
          </cell>
          <cell r="B620">
            <v>10575906</v>
          </cell>
          <cell r="C620">
            <v>37535</v>
          </cell>
        </row>
        <row r="621">
          <cell r="A621" t="str">
            <v>105759 07</v>
          </cell>
          <cell r="B621">
            <v>10575907</v>
          </cell>
          <cell r="C621">
            <v>37535</v>
          </cell>
        </row>
        <row r="622">
          <cell r="A622" t="str">
            <v>105759 08</v>
          </cell>
          <cell r="B622">
            <v>10575908</v>
          </cell>
          <cell r="C622">
            <v>37535</v>
          </cell>
        </row>
        <row r="623">
          <cell r="A623" t="str">
            <v>105759 09</v>
          </cell>
          <cell r="B623">
            <v>10575909</v>
          </cell>
          <cell r="C623">
            <v>37535</v>
          </cell>
        </row>
        <row r="624">
          <cell r="A624" t="str">
            <v>105759 10</v>
          </cell>
          <cell r="B624">
            <v>10575910</v>
          </cell>
          <cell r="C624">
            <v>37535</v>
          </cell>
        </row>
        <row r="625">
          <cell r="A625" t="str">
            <v>105802 01</v>
          </cell>
          <cell r="B625">
            <v>10580201</v>
          </cell>
          <cell r="C625">
            <v>37535</v>
          </cell>
        </row>
        <row r="626">
          <cell r="A626" t="str">
            <v>105803 01</v>
          </cell>
          <cell r="B626">
            <v>10580301</v>
          </cell>
          <cell r="C626">
            <v>37535</v>
          </cell>
        </row>
        <row r="627">
          <cell r="A627" t="str">
            <v>105804 01</v>
          </cell>
          <cell r="B627">
            <v>10580401</v>
          </cell>
          <cell r="C627">
            <v>37535</v>
          </cell>
        </row>
        <row r="628">
          <cell r="A628" t="str">
            <v>105804 02</v>
          </cell>
          <cell r="B628">
            <v>10580402</v>
          </cell>
          <cell r="C628">
            <v>37535</v>
          </cell>
        </row>
        <row r="629">
          <cell r="A629" t="str">
            <v>105804 03</v>
          </cell>
          <cell r="B629">
            <v>10580403</v>
          </cell>
          <cell r="C629">
            <v>37535</v>
          </cell>
        </row>
        <row r="630">
          <cell r="A630" t="str">
            <v>105804 04</v>
          </cell>
          <cell r="B630">
            <v>10580404</v>
          </cell>
          <cell r="C630">
            <v>37535</v>
          </cell>
        </row>
        <row r="631">
          <cell r="A631" t="str">
            <v>105830 01</v>
          </cell>
          <cell r="B631">
            <v>10583001</v>
          </cell>
          <cell r="C631">
            <v>37535</v>
          </cell>
        </row>
        <row r="632">
          <cell r="A632" t="str">
            <v>105830 02</v>
          </cell>
          <cell r="B632">
            <v>10583002</v>
          </cell>
          <cell r="C632">
            <v>37535</v>
          </cell>
        </row>
        <row r="633">
          <cell r="A633" t="str">
            <v>105846 01</v>
          </cell>
          <cell r="B633">
            <v>10584601</v>
          </cell>
          <cell r="C633">
            <v>37535</v>
          </cell>
        </row>
        <row r="634">
          <cell r="A634" t="str">
            <v>105882 01</v>
          </cell>
          <cell r="B634">
            <v>10588201</v>
          </cell>
          <cell r="C634">
            <v>37535</v>
          </cell>
        </row>
        <row r="635">
          <cell r="A635" t="str">
            <v>105894 01</v>
          </cell>
          <cell r="B635">
            <v>10589401</v>
          </cell>
          <cell r="C635">
            <v>37530</v>
          </cell>
        </row>
        <row r="636">
          <cell r="A636" t="str">
            <v>105896 01</v>
          </cell>
          <cell r="B636">
            <v>10589601</v>
          </cell>
          <cell r="C636">
            <v>37530</v>
          </cell>
        </row>
        <row r="637">
          <cell r="A637" t="str">
            <v>105897 01</v>
          </cell>
          <cell r="B637">
            <v>10589701</v>
          </cell>
          <cell r="C637">
            <v>37530</v>
          </cell>
        </row>
        <row r="638">
          <cell r="A638" t="str">
            <v>105911 01</v>
          </cell>
          <cell r="B638">
            <v>10591101</v>
          </cell>
          <cell r="C638">
            <v>37535</v>
          </cell>
        </row>
        <row r="639">
          <cell r="A639" t="str">
            <v>105917 01</v>
          </cell>
          <cell r="B639">
            <v>10591701</v>
          </cell>
          <cell r="C639">
            <v>37535</v>
          </cell>
        </row>
        <row r="640">
          <cell r="A640" t="str">
            <v>105992 01</v>
          </cell>
          <cell r="B640">
            <v>10599201</v>
          </cell>
          <cell r="C640">
            <v>37535</v>
          </cell>
        </row>
        <row r="641">
          <cell r="A641" t="str">
            <v>106050 01</v>
          </cell>
          <cell r="B641">
            <v>10605001</v>
          </cell>
          <cell r="C641">
            <v>37535</v>
          </cell>
        </row>
        <row r="642">
          <cell r="A642" t="str">
            <v>106050 02</v>
          </cell>
          <cell r="B642">
            <v>10605002</v>
          </cell>
          <cell r="C642">
            <v>37530</v>
          </cell>
        </row>
        <row r="643">
          <cell r="A643" t="str">
            <v>106063 01</v>
          </cell>
          <cell r="B643">
            <v>10606301</v>
          </cell>
          <cell r="C643">
            <v>37535</v>
          </cell>
        </row>
        <row r="644">
          <cell r="A644" t="str">
            <v>106155 01</v>
          </cell>
          <cell r="B644">
            <v>10615501</v>
          </cell>
          <cell r="C644">
            <v>37535</v>
          </cell>
        </row>
        <row r="645">
          <cell r="A645" t="str">
            <v>106234 01</v>
          </cell>
          <cell r="B645">
            <v>10623401</v>
          </cell>
          <cell r="C645">
            <v>37535</v>
          </cell>
        </row>
        <row r="646">
          <cell r="A646" t="str">
            <v>106239 01</v>
          </cell>
          <cell r="B646">
            <v>10623901</v>
          </cell>
          <cell r="C646">
            <v>37535</v>
          </cell>
        </row>
        <row r="647">
          <cell r="A647" t="str">
            <v>106264 01</v>
          </cell>
          <cell r="B647">
            <v>10626401</v>
          </cell>
          <cell r="C647">
            <v>37535</v>
          </cell>
        </row>
        <row r="648">
          <cell r="A648" t="str">
            <v>106264 02</v>
          </cell>
          <cell r="B648">
            <v>10626402</v>
          </cell>
          <cell r="C648">
            <v>37535</v>
          </cell>
        </row>
        <row r="649">
          <cell r="A649" t="str">
            <v>106266 01</v>
          </cell>
          <cell r="B649">
            <v>10626601</v>
          </cell>
          <cell r="C649">
            <v>37530</v>
          </cell>
        </row>
        <row r="650">
          <cell r="A650" t="str">
            <v>106266 02</v>
          </cell>
          <cell r="B650">
            <v>10626602</v>
          </cell>
          <cell r="C650">
            <v>37530</v>
          </cell>
        </row>
        <row r="651">
          <cell r="A651" t="str">
            <v>106266 03</v>
          </cell>
          <cell r="B651">
            <v>10626603</v>
          </cell>
          <cell r="C651">
            <v>37530</v>
          </cell>
        </row>
        <row r="652">
          <cell r="A652" t="str">
            <v>106266 04</v>
          </cell>
          <cell r="B652">
            <v>10626604</v>
          </cell>
          <cell r="C652">
            <v>37530</v>
          </cell>
        </row>
        <row r="653">
          <cell r="A653" t="str">
            <v>106266 05</v>
          </cell>
          <cell r="B653">
            <v>10626605</v>
          </cell>
          <cell r="C653">
            <v>37530</v>
          </cell>
        </row>
        <row r="654">
          <cell r="A654" t="str">
            <v>106266 06</v>
          </cell>
          <cell r="B654">
            <v>10626606</v>
          </cell>
          <cell r="C654">
            <v>37530</v>
          </cell>
        </row>
        <row r="655">
          <cell r="A655" t="str">
            <v>106266 07</v>
          </cell>
          <cell r="B655">
            <v>10626607</v>
          </cell>
          <cell r="C655">
            <v>37530</v>
          </cell>
        </row>
        <row r="656">
          <cell r="A656" t="str">
            <v>106266 08</v>
          </cell>
          <cell r="B656">
            <v>10626608</v>
          </cell>
          <cell r="C656">
            <v>37530</v>
          </cell>
        </row>
        <row r="657">
          <cell r="A657" t="str">
            <v>106266 09</v>
          </cell>
          <cell r="B657">
            <v>10626609</v>
          </cell>
          <cell r="C657">
            <v>37530</v>
          </cell>
        </row>
        <row r="658">
          <cell r="A658" t="str">
            <v>106266 10</v>
          </cell>
          <cell r="B658">
            <v>10626610</v>
          </cell>
          <cell r="C658">
            <v>37530</v>
          </cell>
        </row>
        <row r="659">
          <cell r="A659" t="str">
            <v>106266 11</v>
          </cell>
          <cell r="B659">
            <v>10626611</v>
          </cell>
          <cell r="C659">
            <v>37530</v>
          </cell>
        </row>
        <row r="660">
          <cell r="A660" t="str">
            <v>106266 12</v>
          </cell>
          <cell r="B660">
            <v>10626612</v>
          </cell>
          <cell r="C660">
            <v>37535</v>
          </cell>
        </row>
        <row r="661">
          <cell r="A661" t="str">
            <v>106266 13</v>
          </cell>
          <cell r="B661">
            <v>10626613</v>
          </cell>
          <cell r="C661">
            <v>37535</v>
          </cell>
        </row>
        <row r="662">
          <cell r="A662" t="str">
            <v>106266 14</v>
          </cell>
          <cell r="B662">
            <v>10626614</v>
          </cell>
          <cell r="C662">
            <v>37535</v>
          </cell>
        </row>
        <row r="663">
          <cell r="A663" t="str">
            <v>106266 15</v>
          </cell>
          <cell r="B663">
            <v>10626615</v>
          </cell>
          <cell r="C663">
            <v>37530</v>
          </cell>
        </row>
        <row r="664">
          <cell r="A664" t="str">
            <v>106266 16</v>
          </cell>
          <cell r="B664">
            <v>10626616</v>
          </cell>
          <cell r="C664">
            <v>37530</v>
          </cell>
        </row>
        <row r="665">
          <cell r="A665" t="str">
            <v>106281 01</v>
          </cell>
          <cell r="B665">
            <v>10628101</v>
          </cell>
          <cell r="C665">
            <v>37535</v>
          </cell>
        </row>
        <row r="666">
          <cell r="A666" t="str">
            <v>106282 01</v>
          </cell>
          <cell r="B666">
            <v>10628201</v>
          </cell>
          <cell r="C666">
            <v>37535</v>
          </cell>
        </row>
        <row r="667">
          <cell r="A667" t="str">
            <v>106334 01</v>
          </cell>
          <cell r="B667">
            <v>10633401</v>
          </cell>
          <cell r="C667">
            <v>37530</v>
          </cell>
        </row>
        <row r="668">
          <cell r="A668" t="str">
            <v>106354 01</v>
          </cell>
          <cell r="B668">
            <v>10635401</v>
          </cell>
          <cell r="C668">
            <v>37535</v>
          </cell>
        </row>
        <row r="669">
          <cell r="A669" t="str">
            <v>106396 01</v>
          </cell>
          <cell r="B669">
            <v>10639601</v>
          </cell>
          <cell r="C669">
            <v>37535</v>
          </cell>
        </row>
        <row r="670">
          <cell r="A670" t="str">
            <v>106397 01</v>
          </cell>
          <cell r="B670">
            <v>10639701</v>
          </cell>
          <cell r="C670">
            <v>37535</v>
          </cell>
        </row>
        <row r="671">
          <cell r="A671" t="str">
            <v>106410 01</v>
          </cell>
          <cell r="B671">
            <v>10641001</v>
          </cell>
          <cell r="C671">
            <v>37530</v>
          </cell>
        </row>
        <row r="672">
          <cell r="A672" t="str">
            <v>106425 01</v>
          </cell>
          <cell r="B672">
            <v>10642501</v>
          </cell>
          <cell r="C672">
            <v>37535</v>
          </cell>
        </row>
        <row r="673">
          <cell r="A673" t="str">
            <v>106434 01</v>
          </cell>
          <cell r="B673">
            <v>10643401</v>
          </cell>
          <cell r="C673">
            <v>37535</v>
          </cell>
        </row>
        <row r="674">
          <cell r="A674" t="str">
            <v>106454 01</v>
          </cell>
          <cell r="B674">
            <v>10645401</v>
          </cell>
          <cell r="C674">
            <v>37535</v>
          </cell>
        </row>
        <row r="675">
          <cell r="A675" t="str">
            <v>106454 02</v>
          </cell>
          <cell r="B675">
            <v>10645402</v>
          </cell>
          <cell r="C675">
            <v>37535</v>
          </cell>
        </row>
        <row r="676">
          <cell r="A676" t="str">
            <v>106454 03</v>
          </cell>
          <cell r="B676">
            <v>10645403</v>
          </cell>
          <cell r="C676">
            <v>37535</v>
          </cell>
        </row>
        <row r="677">
          <cell r="A677" t="str">
            <v>106454 04</v>
          </cell>
          <cell r="B677">
            <v>10645404</v>
          </cell>
          <cell r="C677">
            <v>37535</v>
          </cell>
        </row>
        <row r="678">
          <cell r="A678" t="str">
            <v>106468 01</v>
          </cell>
          <cell r="B678">
            <v>10646801</v>
          </cell>
          <cell r="C678">
            <v>37535</v>
          </cell>
        </row>
        <row r="679">
          <cell r="A679" t="str">
            <v>106475 01</v>
          </cell>
          <cell r="B679">
            <v>10647501</v>
          </cell>
          <cell r="C679">
            <v>37535</v>
          </cell>
        </row>
        <row r="680">
          <cell r="A680" t="str">
            <v>106490 01</v>
          </cell>
          <cell r="B680">
            <v>10649001</v>
          </cell>
          <cell r="C680">
            <v>37535</v>
          </cell>
        </row>
        <row r="681">
          <cell r="A681" t="str">
            <v>106503 01</v>
          </cell>
          <cell r="B681">
            <v>10650301</v>
          </cell>
          <cell r="C681">
            <v>37530</v>
          </cell>
        </row>
        <row r="682">
          <cell r="A682" t="str">
            <v>106503 02</v>
          </cell>
          <cell r="B682">
            <v>10650302</v>
          </cell>
          <cell r="C682">
            <v>37530</v>
          </cell>
        </row>
        <row r="683">
          <cell r="A683" t="str">
            <v>106503 03</v>
          </cell>
          <cell r="B683">
            <v>10650303</v>
          </cell>
          <cell r="C683">
            <v>37530</v>
          </cell>
        </row>
        <row r="684">
          <cell r="A684" t="str">
            <v>106503 04</v>
          </cell>
          <cell r="B684">
            <v>10650304</v>
          </cell>
          <cell r="C684">
            <v>37530</v>
          </cell>
        </row>
        <row r="685">
          <cell r="A685" t="str">
            <v>106503 05</v>
          </cell>
          <cell r="B685">
            <v>10650305</v>
          </cell>
          <cell r="C685">
            <v>37530</v>
          </cell>
        </row>
        <row r="686">
          <cell r="A686" t="str">
            <v>106503 06</v>
          </cell>
          <cell r="B686">
            <v>10650306</v>
          </cell>
          <cell r="C686">
            <v>37530</v>
          </cell>
        </row>
        <row r="687">
          <cell r="A687" t="str">
            <v>106503 07</v>
          </cell>
          <cell r="B687">
            <v>10650307</v>
          </cell>
          <cell r="C687">
            <v>37530</v>
          </cell>
        </row>
        <row r="688">
          <cell r="A688" t="str">
            <v>106503 08</v>
          </cell>
          <cell r="B688">
            <v>10650308</v>
          </cell>
          <cell r="C688">
            <v>37530</v>
          </cell>
        </row>
        <row r="689">
          <cell r="A689" t="str">
            <v>106503 09</v>
          </cell>
          <cell r="B689">
            <v>10650309</v>
          </cell>
          <cell r="C689">
            <v>37530</v>
          </cell>
        </row>
        <row r="690">
          <cell r="A690" t="str">
            <v>106503 10</v>
          </cell>
          <cell r="B690">
            <v>10650310</v>
          </cell>
          <cell r="C690">
            <v>37530</v>
          </cell>
        </row>
        <row r="691">
          <cell r="A691" t="str">
            <v>106503 11</v>
          </cell>
          <cell r="B691">
            <v>10650311</v>
          </cell>
          <cell r="C691">
            <v>37530</v>
          </cell>
        </row>
        <row r="692">
          <cell r="A692" t="str">
            <v>106503 12</v>
          </cell>
          <cell r="B692">
            <v>10650312</v>
          </cell>
          <cell r="C692">
            <v>37530</v>
          </cell>
        </row>
        <row r="693">
          <cell r="A693" t="str">
            <v>106503 13</v>
          </cell>
          <cell r="B693">
            <v>10650313</v>
          </cell>
          <cell r="C693">
            <v>37530</v>
          </cell>
        </row>
        <row r="694">
          <cell r="A694" t="str">
            <v>106509 01</v>
          </cell>
          <cell r="B694">
            <v>10650901</v>
          </cell>
          <cell r="C694">
            <v>37535</v>
          </cell>
        </row>
        <row r="695">
          <cell r="A695" t="str">
            <v>106525 01</v>
          </cell>
          <cell r="B695">
            <v>10652501</v>
          </cell>
          <cell r="C695">
            <v>37535</v>
          </cell>
        </row>
        <row r="696">
          <cell r="A696" t="str">
            <v>106526 01</v>
          </cell>
          <cell r="B696">
            <v>10652601</v>
          </cell>
          <cell r="C696">
            <v>37535</v>
          </cell>
        </row>
        <row r="697">
          <cell r="A697" t="str">
            <v>106554 01</v>
          </cell>
          <cell r="B697">
            <v>10655401</v>
          </cell>
          <cell r="C697">
            <v>37530</v>
          </cell>
        </row>
        <row r="698">
          <cell r="A698" t="str">
            <v>106558 01</v>
          </cell>
          <cell r="B698">
            <v>10655801</v>
          </cell>
          <cell r="C698">
            <v>37530</v>
          </cell>
        </row>
        <row r="699">
          <cell r="A699" t="str">
            <v>106566 01</v>
          </cell>
          <cell r="B699">
            <v>10656601</v>
          </cell>
          <cell r="C699">
            <v>37535</v>
          </cell>
        </row>
        <row r="700">
          <cell r="A700" t="str">
            <v>106576 01</v>
          </cell>
          <cell r="B700">
            <v>10657601</v>
          </cell>
          <cell r="C700">
            <v>37530</v>
          </cell>
        </row>
        <row r="701">
          <cell r="A701" t="str">
            <v>106661 01</v>
          </cell>
          <cell r="B701">
            <v>10666101</v>
          </cell>
          <cell r="C701">
            <v>37535</v>
          </cell>
        </row>
        <row r="702">
          <cell r="A702" t="str">
            <v>106662 01</v>
          </cell>
          <cell r="B702">
            <v>10666201</v>
          </cell>
          <cell r="C702">
            <v>37530</v>
          </cell>
        </row>
        <row r="703">
          <cell r="A703" t="str">
            <v>106663 01</v>
          </cell>
          <cell r="B703">
            <v>10666301</v>
          </cell>
          <cell r="C703">
            <v>37530</v>
          </cell>
        </row>
        <row r="704">
          <cell r="A704" t="str">
            <v>106664 01</v>
          </cell>
          <cell r="B704">
            <v>10666401</v>
          </cell>
          <cell r="C704">
            <v>37530</v>
          </cell>
        </row>
        <row r="705">
          <cell r="A705" t="str">
            <v>106822 01</v>
          </cell>
          <cell r="B705">
            <v>10682201</v>
          </cell>
          <cell r="C705">
            <v>37530</v>
          </cell>
        </row>
        <row r="706">
          <cell r="A706" t="str">
            <v>106822 02</v>
          </cell>
          <cell r="B706">
            <v>10682202</v>
          </cell>
          <cell r="C706">
            <v>37530</v>
          </cell>
        </row>
        <row r="707">
          <cell r="A707" t="str">
            <v>106823 01</v>
          </cell>
          <cell r="B707">
            <v>10682301</v>
          </cell>
          <cell r="C707">
            <v>37535</v>
          </cell>
        </row>
        <row r="708">
          <cell r="A708" t="str">
            <v>106827 01</v>
          </cell>
          <cell r="B708">
            <v>10682701</v>
          </cell>
          <cell r="C708">
            <v>37535</v>
          </cell>
        </row>
        <row r="709">
          <cell r="A709" t="str">
            <v>106847 01</v>
          </cell>
          <cell r="B709">
            <v>10684701</v>
          </cell>
          <cell r="C709">
            <v>37535</v>
          </cell>
        </row>
        <row r="710">
          <cell r="A710" t="str">
            <v>106871 01</v>
          </cell>
          <cell r="B710">
            <v>10687101</v>
          </cell>
          <cell r="C710">
            <v>37535</v>
          </cell>
        </row>
        <row r="711">
          <cell r="A711" t="str">
            <v>106871 02</v>
          </cell>
          <cell r="B711">
            <v>10687102</v>
          </cell>
          <cell r="C711">
            <v>37535</v>
          </cell>
        </row>
        <row r="712">
          <cell r="A712" t="str">
            <v>106871 03</v>
          </cell>
          <cell r="B712">
            <v>10687103</v>
          </cell>
          <cell r="C712">
            <v>37535</v>
          </cell>
        </row>
        <row r="713">
          <cell r="A713" t="str">
            <v>106872 01</v>
          </cell>
          <cell r="B713">
            <v>10687201</v>
          </cell>
          <cell r="C713">
            <v>37535</v>
          </cell>
        </row>
        <row r="714">
          <cell r="A714" t="str">
            <v>106872 02</v>
          </cell>
          <cell r="B714">
            <v>10687202</v>
          </cell>
          <cell r="C714">
            <v>37535</v>
          </cell>
        </row>
        <row r="715">
          <cell r="A715" t="str">
            <v>106874 01</v>
          </cell>
          <cell r="B715">
            <v>10687401</v>
          </cell>
          <cell r="C715">
            <v>37535</v>
          </cell>
        </row>
        <row r="716">
          <cell r="A716" t="str">
            <v>106919 01</v>
          </cell>
          <cell r="B716">
            <v>10691901</v>
          </cell>
          <cell r="C716">
            <v>37535</v>
          </cell>
        </row>
        <row r="717">
          <cell r="A717" t="str">
            <v>106930 01</v>
          </cell>
          <cell r="B717">
            <v>10693001</v>
          </cell>
          <cell r="C717">
            <v>37530</v>
          </cell>
        </row>
        <row r="718">
          <cell r="A718" t="str">
            <v>106942 01</v>
          </cell>
          <cell r="B718">
            <v>10694201</v>
          </cell>
          <cell r="C718">
            <v>37530</v>
          </cell>
        </row>
        <row r="719">
          <cell r="A719" t="str">
            <v>106954 01</v>
          </cell>
          <cell r="B719">
            <v>10695401</v>
          </cell>
          <cell r="C719">
            <v>37530</v>
          </cell>
        </row>
        <row r="720">
          <cell r="A720" t="str">
            <v>107005 01</v>
          </cell>
          <cell r="B720">
            <v>10700501</v>
          </cell>
          <cell r="C720">
            <v>37530</v>
          </cell>
        </row>
        <row r="721">
          <cell r="A721" t="str">
            <v>107005 02</v>
          </cell>
          <cell r="B721">
            <v>10700502</v>
          </cell>
          <cell r="C721">
            <v>37530</v>
          </cell>
        </row>
        <row r="722">
          <cell r="A722" t="str">
            <v>107005 03</v>
          </cell>
          <cell r="B722">
            <v>10700503</v>
          </cell>
          <cell r="C722">
            <v>37530</v>
          </cell>
        </row>
        <row r="723">
          <cell r="A723" t="str">
            <v>107005 04</v>
          </cell>
          <cell r="B723">
            <v>10700504</v>
          </cell>
          <cell r="C723">
            <v>37530</v>
          </cell>
        </row>
        <row r="724">
          <cell r="A724" t="str">
            <v>107005 05</v>
          </cell>
          <cell r="B724">
            <v>10700505</v>
          </cell>
          <cell r="C724">
            <v>37530</v>
          </cell>
        </row>
        <row r="725">
          <cell r="A725" t="str">
            <v>107052 01</v>
          </cell>
          <cell r="B725">
            <v>10705201</v>
          </cell>
          <cell r="C725">
            <v>37530</v>
          </cell>
        </row>
        <row r="726">
          <cell r="A726" t="str">
            <v>107052 02</v>
          </cell>
          <cell r="B726">
            <v>10705202</v>
          </cell>
          <cell r="C726">
            <v>37530</v>
          </cell>
        </row>
        <row r="727">
          <cell r="A727" t="str">
            <v>107052 03</v>
          </cell>
          <cell r="B727">
            <v>10705203</v>
          </cell>
          <cell r="C727">
            <v>37530</v>
          </cell>
        </row>
        <row r="728">
          <cell r="A728" t="str">
            <v>107052 04</v>
          </cell>
          <cell r="B728">
            <v>10705204</v>
          </cell>
          <cell r="C728">
            <v>37530</v>
          </cell>
        </row>
        <row r="729">
          <cell r="A729" t="str">
            <v>107052 05</v>
          </cell>
          <cell r="B729">
            <v>10705205</v>
          </cell>
          <cell r="C729">
            <v>37530</v>
          </cell>
        </row>
        <row r="730">
          <cell r="A730" t="str">
            <v>107052 06</v>
          </cell>
          <cell r="B730">
            <v>10705206</v>
          </cell>
          <cell r="C730">
            <v>37530</v>
          </cell>
        </row>
        <row r="731">
          <cell r="A731" t="str">
            <v>107052 07</v>
          </cell>
          <cell r="B731">
            <v>10705207</v>
          </cell>
          <cell r="C731">
            <v>37530</v>
          </cell>
        </row>
        <row r="732">
          <cell r="A732" t="str">
            <v>107052 08</v>
          </cell>
          <cell r="B732">
            <v>10705208</v>
          </cell>
          <cell r="C732">
            <v>37530</v>
          </cell>
        </row>
        <row r="733">
          <cell r="A733" t="str">
            <v>107052 09</v>
          </cell>
          <cell r="B733">
            <v>10705209</v>
          </cell>
          <cell r="C733">
            <v>37530</v>
          </cell>
        </row>
        <row r="734">
          <cell r="A734" t="str">
            <v>107052 10</v>
          </cell>
          <cell r="B734">
            <v>10705210</v>
          </cell>
          <cell r="C734">
            <v>37530</v>
          </cell>
        </row>
        <row r="735">
          <cell r="A735" t="str">
            <v>107074 01</v>
          </cell>
          <cell r="B735">
            <v>10707401</v>
          </cell>
          <cell r="C735">
            <v>37530</v>
          </cell>
        </row>
        <row r="736">
          <cell r="A736" t="str">
            <v>107077 01</v>
          </cell>
          <cell r="B736">
            <v>10707701</v>
          </cell>
          <cell r="C736">
            <v>37535</v>
          </cell>
        </row>
        <row r="737">
          <cell r="A737" t="str">
            <v>107080 01</v>
          </cell>
          <cell r="B737">
            <v>10708001</v>
          </cell>
          <cell r="C737">
            <v>37535</v>
          </cell>
        </row>
        <row r="738">
          <cell r="A738" t="str">
            <v>107080 02</v>
          </cell>
          <cell r="B738">
            <v>10708002</v>
          </cell>
          <cell r="C738">
            <v>37535</v>
          </cell>
        </row>
        <row r="739">
          <cell r="A739" t="str">
            <v>107081 01</v>
          </cell>
          <cell r="B739">
            <v>10708101</v>
          </cell>
          <cell r="C739">
            <v>37535</v>
          </cell>
        </row>
        <row r="740">
          <cell r="A740" t="str">
            <v>107124 01</v>
          </cell>
          <cell r="B740">
            <v>10712401</v>
          </cell>
          <cell r="C740">
            <v>37530</v>
          </cell>
        </row>
        <row r="741">
          <cell r="A741" t="str">
            <v>107129 01</v>
          </cell>
          <cell r="B741">
            <v>10712901</v>
          </cell>
          <cell r="C741">
            <v>37530</v>
          </cell>
        </row>
        <row r="742">
          <cell r="A742" t="str">
            <v>107129 02</v>
          </cell>
          <cell r="B742">
            <v>10712902</v>
          </cell>
          <cell r="C742">
            <v>37530</v>
          </cell>
        </row>
        <row r="743">
          <cell r="A743" t="str">
            <v>107129 03</v>
          </cell>
          <cell r="B743">
            <v>10712903</v>
          </cell>
          <cell r="C743">
            <v>37530</v>
          </cell>
        </row>
        <row r="744">
          <cell r="A744" t="str">
            <v>107129 04</v>
          </cell>
          <cell r="B744">
            <v>10712904</v>
          </cell>
          <cell r="C744">
            <v>37530</v>
          </cell>
        </row>
        <row r="745">
          <cell r="A745" t="str">
            <v>107129 05</v>
          </cell>
          <cell r="B745">
            <v>10712905</v>
          </cell>
          <cell r="C745">
            <v>37530</v>
          </cell>
        </row>
        <row r="746">
          <cell r="A746" t="str">
            <v>107136 01</v>
          </cell>
          <cell r="B746">
            <v>10713601</v>
          </cell>
          <cell r="C746">
            <v>37535</v>
          </cell>
        </row>
        <row r="747">
          <cell r="A747" t="str">
            <v>107136 02</v>
          </cell>
          <cell r="B747">
            <v>10713602</v>
          </cell>
          <cell r="C747">
            <v>37535</v>
          </cell>
        </row>
        <row r="748">
          <cell r="A748" t="str">
            <v>107136 03</v>
          </cell>
          <cell r="B748">
            <v>10713603</v>
          </cell>
          <cell r="C748">
            <v>37535</v>
          </cell>
        </row>
        <row r="749">
          <cell r="A749" t="str">
            <v>107140 01</v>
          </cell>
          <cell r="B749">
            <v>10714001</v>
          </cell>
          <cell r="C749">
            <v>37535</v>
          </cell>
        </row>
        <row r="750">
          <cell r="A750" t="str">
            <v>107140 02</v>
          </cell>
          <cell r="B750">
            <v>10714002</v>
          </cell>
          <cell r="C750">
            <v>37535</v>
          </cell>
        </row>
        <row r="751">
          <cell r="A751" t="str">
            <v>107140 03</v>
          </cell>
          <cell r="B751">
            <v>10714003</v>
          </cell>
          <cell r="C751">
            <v>37535</v>
          </cell>
        </row>
        <row r="752">
          <cell r="A752" t="str">
            <v>107140 04</v>
          </cell>
          <cell r="B752">
            <v>10714004</v>
          </cell>
          <cell r="C752">
            <v>37535</v>
          </cell>
        </row>
        <row r="753">
          <cell r="A753" t="str">
            <v>107146 01</v>
          </cell>
          <cell r="B753">
            <v>10714601</v>
          </cell>
          <cell r="C753">
            <v>37535</v>
          </cell>
        </row>
        <row r="754">
          <cell r="A754" t="str">
            <v>107151 01</v>
          </cell>
          <cell r="B754">
            <v>10715101</v>
          </cell>
          <cell r="C754">
            <v>37535</v>
          </cell>
        </row>
        <row r="755">
          <cell r="A755" t="str">
            <v>107158 01</v>
          </cell>
          <cell r="B755">
            <v>10715801</v>
          </cell>
          <cell r="C755">
            <v>37535</v>
          </cell>
        </row>
        <row r="756">
          <cell r="A756" t="str">
            <v>107159 01</v>
          </cell>
          <cell r="B756">
            <v>10715901</v>
          </cell>
          <cell r="C756">
            <v>37530</v>
          </cell>
        </row>
        <row r="757">
          <cell r="A757" t="str">
            <v>107176 01</v>
          </cell>
          <cell r="B757">
            <v>10717601</v>
          </cell>
          <cell r="C757">
            <v>37535</v>
          </cell>
        </row>
        <row r="758">
          <cell r="A758" t="str">
            <v>107177 01</v>
          </cell>
          <cell r="B758">
            <v>10717701</v>
          </cell>
          <cell r="C758">
            <v>37535</v>
          </cell>
        </row>
        <row r="759">
          <cell r="A759" t="str">
            <v>107197 01</v>
          </cell>
          <cell r="B759">
            <v>10719701</v>
          </cell>
          <cell r="C759">
            <v>37530</v>
          </cell>
        </row>
        <row r="760">
          <cell r="A760" t="str">
            <v>107197 02</v>
          </cell>
          <cell r="B760">
            <v>10719702</v>
          </cell>
          <cell r="C760">
            <v>37530</v>
          </cell>
        </row>
        <row r="761">
          <cell r="A761" t="str">
            <v>107197 03</v>
          </cell>
          <cell r="B761">
            <v>10719703</v>
          </cell>
          <cell r="C761">
            <v>37530</v>
          </cell>
        </row>
        <row r="762">
          <cell r="A762" t="str">
            <v>107197 04</v>
          </cell>
          <cell r="B762">
            <v>10719704</v>
          </cell>
          <cell r="C762">
            <v>37530</v>
          </cell>
        </row>
        <row r="763">
          <cell r="A763" t="str">
            <v>107198 01</v>
          </cell>
          <cell r="B763">
            <v>10719801</v>
          </cell>
          <cell r="C763">
            <v>37530</v>
          </cell>
        </row>
        <row r="764">
          <cell r="A764" t="str">
            <v>107198 02</v>
          </cell>
          <cell r="B764">
            <v>10719802</v>
          </cell>
          <cell r="C764">
            <v>37530</v>
          </cell>
        </row>
        <row r="765">
          <cell r="A765" t="str">
            <v>107198 03</v>
          </cell>
          <cell r="B765">
            <v>10719803</v>
          </cell>
          <cell r="C765">
            <v>37530</v>
          </cell>
        </row>
        <row r="766">
          <cell r="A766" t="str">
            <v>107204 01</v>
          </cell>
          <cell r="B766">
            <v>10720401</v>
          </cell>
          <cell r="C766">
            <v>37535</v>
          </cell>
        </row>
        <row r="767">
          <cell r="A767" t="str">
            <v>107206 01</v>
          </cell>
          <cell r="B767">
            <v>10720601</v>
          </cell>
          <cell r="C767">
            <v>37535</v>
          </cell>
        </row>
        <row r="768">
          <cell r="A768" t="str">
            <v>107213 01</v>
          </cell>
          <cell r="B768">
            <v>10721301</v>
          </cell>
          <cell r="C768">
            <v>37535</v>
          </cell>
        </row>
        <row r="769">
          <cell r="A769" t="str">
            <v>107214 01</v>
          </cell>
          <cell r="B769">
            <v>10721401</v>
          </cell>
          <cell r="C769">
            <v>37535</v>
          </cell>
        </row>
        <row r="770">
          <cell r="A770" t="str">
            <v>107216 01</v>
          </cell>
          <cell r="B770">
            <v>10721601</v>
          </cell>
          <cell r="C770">
            <v>37535</v>
          </cell>
        </row>
        <row r="771">
          <cell r="A771" t="str">
            <v>107217 01</v>
          </cell>
          <cell r="B771">
            <v>10721701</v>
          </cell>
          <cell r="C771">
            <v>37535</v>
          </cell>
        </row>
        <row r="772">
          <cell r="A772" t="str">
            <v>107218 01</v>
          </cell>
          <cell r="B772">
            <v>10721801</v>
          </cell>
          <cell r="C772">
            <v>37535</v>
          </cell>
        </row>
        <row r="773">
          <cell r="A773" t="str">
            <v>107227 01</v>
          </cell>
          <cell r="B773">
            <v>10722701</v>
          </cell>
          <cell r="C773">
            <v>37535</v>
          </cell>
        </row>
        <row r="774">
          <cell r="A774" t="str">
            <v>107229 01</v>
          </cell>
          <cell r="B774">
            <v>10722901</v>
          </cell>
          <cell r="C774">
            <v>37535</v>
          </cell>
        </row>
        <row r="775">
          <cell r="A775" t="str">
            <v>107237 01</v>
          </cell>
          <cell r="B775">
            <v>10723701</v>
          </cell>
          <cell r="C775">
            <v>37535</v>
          </cell>
        </row>
        <row r="776">
          <cell r="A776" t="str">
            <v>107249 01</v>
          </cell>
          <cell r="B776">
            <v>10724901</v>
          </cell>
          <cell r="C776">
            <v>37530</v>
          </cell>
        </row>
        <row r="777">
          <cell r="A777" t="str">
            <v>107249 02</v>
          </cell>
          <cell r="B777">
            <v>10724902</v>
          </cell>
          <cell r="C777">
            <v>37530</v>
          </cell>
        </row>
        <row r="778">
          <cell r="A778" t="str">
            <v>107249 03</v>
          </cell>
          <cell r="B778">
            <v>10724903</v>
          </cell>
          <cell r="C778">
            <v>37530</v>
          </cell>
        </row>
        <row r="779">
          <cell r="A779" t="str">
            <v>107253 01</v>
          </cell>
          <cell r="B779">
            <v>10725301</v>
          </cell>
          <cell r="C779">
            <v>37530</v>
          </cell>
        </row>
        <row r="780">
          <cell r="A780" t="str">
            <v>107253 02</v>
          </cell>
          <cell r="B780">
            <v>10725302</v>
          </cell>
          <cell r="C780">
            <v>37530</v>
          </cell>
        </row>
        <row r="781">
          <cell r="A781" t="str">
            <v>107253 03</v>
          </cell>
          <cell r="B781">
            <v>10725303</v>
          </cell>
          <cell r="C781">
            <v>37530</v>
          </cell>
        </row>
        <row r="782">
          <cell r="A782" t="str">
            <v>107253 04</v>
          </cell>
          <cell r="B782">
            <v>10725304</v>
          </cell>
          <cell r="C782">
            <v>37530</v>
          </cell>
        </row>
        <row r="783">
          <cell r="A783" t="str">
            <v>107253 05</v>
          </cell>
          <cell r="B783">
            <v>10725305</v>
          </cell>
          <cell r="C783">
            <v>37530</v>
          </cell>
        </row>
        <row r="784">
          <cell r="A784" t="str">
            <v>107262 01</v>
          </cell>
          <cell r="B784">
            <v>10726201</v>
          </cell>
          <cell r="C784">
            <v>37535</v>
          </cell>
        </row>
        <row r="785">
          <cell r="A785" t="str">
            <v>107262 02</v>
          </cell>
          <cell r="B785">
            <v>10726202</v>
          </cell>
          <cell r="C785">
            <v>37535</v>
          </cell>
        </row>
        <row r="786">
          <cell r="A786" t="str">
            <v>107263 01</v>
          </cell>
          <cell r="B786">
            <v>10726301</v>
          </cell>
          <cell r="C786">
            <v>37535</v>
          </cell>
        </row>
        <row r="787">
          <cell r="A787" t="str">
            <v>107271 01</v>
          </cell>
          <cell r="B787">
            <v>10727101</v>
          </cell>
          <cell r="C787">
            <v>37530</v>
          </cell>
        </row>
        <row r="788">
          <cell r="A788" t="str">
            <v>107296 01</v>
          </cell>
          <cell r="B788">
            <v>10729601</v>
          </cell>
          <cell r="C788">
            <v>37530</v>
          </cell>
        </row>
        <row r="789">
          <cell r="A789" t="str">
            <v>107316 01</v>
          </cell>
          <cell r="B789">
            <v>10731601</v>
          </cell>
          <cell r="C789">
            <v>37530</v>
          </cell>
        </row>
        <row r="790">
          <cell r="A790" t="str">
            <v>107316 02</v>
          </cell>
          <cell r="B790">
            <v>10731602</v>
          </cell>
          <cell r="C790">
            <v>37530</v>
          </cell>
        </row>
        <row r="791">
          <cell r="A791" t="str">
            <v>107318 01</v>
          </cell>
          <cell r="B791">
            <v>10731801</v>
          </cell>
          <cell r="C791">
            <v>37535</v>
          </cell>
        </row>
        <row r="792">
          <cell r="A792" t="str">
            <v>107318 02</v>
          </cell>
          <cell r="B792">
            <v>10731802</v>
          </cell>
          <cell r="C792">
            <v>37535</v>
          </cell>
        </row>
        <row r="793">
          <cell r="A793" t="str">
            <v>107340 01</v>
          </cell>
          <cell r="B793">
            <v>10734001</v>
          </cell>
          <cell r="C793">
            <v>37535</v>
          </cell>
        </row>
        <row r="794">
          <cell r="A794" t="str">
            <v>107341 01</v>
          </cell>
          <cell r="B794">
            <v>10734101</v>
          </cell>
          <cell r="C794">
            <v>37530</v>
          </cell>
        </row>
        <row r="795">
          <cell r="A795" t="str">
            <v>107341 02</v>
          </cell>
          <cell r="B795">
            <v>10734102</v>
          </cell>
          <cell r="C795">
            <v>37530</v>
          </cell>
        </row>
        <row r="796">
          <cell r="A796" t="str">
            <v>107353 01</v>
          </cell>
          <cell r="B796">
            <v>10735301</v>
          </cell>
          <cell r="C796">
            <v>37530</v>
          </cell>
        </row>
        <row r="797">
          <cell r="A797" t="str">
            <v>107354 01</v>
          </cell>
          <cell r="B797">
            <v>10735401</v>
          </cell>
          <cell r="C797">
            <v>37530</v>
          </cell>
        </row>
        <row r="798">
          <cell r="A798" t="str">
            <v>107363 01</v>
          </cell>
          <cell r="B798">
            <v>10736301</v>
          </cell>
          <cell r="C798">
            <v>37530</v>
          </cell>
        </row>
        <row r="799">
          <cell r="A799" t="str">
            <v>107364 01</v>
          </cell>
          <cell r="B799">
            <v>10736401</v>
          </cell>
          <cell r="C799">
            <v>37530</v>
          </cell>
        </row>
        <row r="800">
          <cell r="A800" t="str">
            <v>107364 02</v>
          </cell>
          <cell r="B800">
            <v>10736402</v>
          </cell>
          <cell r="C800">
            <v>37530</v>
          </cell>
        </row>
        <row r="801">
          <cell r="A801" t="str">
            <v>107411 01</v>
          </cell>
          <cell r="B801">
            <v>10741101</v>
          </cell>
          <cell r="C801">
            <v>37530</v>
          </cell>
        </row>
        <row r="802">
          <cell r="A802" t="str">
            <v>107414 01</v>
          </cell>
          <cell r="B802">
            <v>10741401</v>
          </cell>
          <cell r="C802">
            <v>37535</v>
          </cell>
        </row>
        <row r="803">
          <cell r="A803" t="str">
            <v>107416 01</v>
          </cell>
          <cell r="B803">
            <v>10741601</v>
          </cell>
          <cell r="C803">
            <v>37530</v>
          </cell>
        </row>
        <row r="804">
          <cell r="A804" t="str">
            <v>107422 01</v>
          </cell>
          <cell r="B804">
            <v>10742201</v>
          </cell>
          <cell r="C804">
            <v>37535</v>
          </cell>
        </row>
        <row r="805">
          <cell r="A805" t="str">
            <v>107429 01</v>
          </cell>
          <cell r="B805">
            <v>10742901</v>
          </cell>
          <cell r="C805">
            <v>37535</v>
          </cell>
        </row>
        <row r="806">
          <cell r="A806" t="str">
            <v>107431 01</v>
          </cell>
          <cell r="B806">
            <v>10743101</v>
          </cell>
          <cell r="C806">
            <v>37535</v>
          </cell>
        </row>
        <row r="807">
          <cell r="A807" t="str">
            <v>107433 01</v>
          </cell>
          <cell r="B807">
            <v>10743301</v>
          </cell>
          <cell r="C807">
            <v>37535</v>
          </cell>
        </row>
        <row r="808">
          <cell r="A808" t="str">
            <v>107443 01</v>
          </cell>
          <cell r="B808">
            <v>10744301</v>
          </cell>
          <cell r="C808">
            <v>37530</v>
          </cell>
        </row>
        <row r="809">
          <cell r="A809" t="str">
            <v>107444 01</v>
          </cell>
          <cell r="B809">
            <v>10744401</v>
          </cell>
          <cell r="C809">
            <v>37530</v>
          </cell>
        </row>
        <row r="810">
          <cell r="A810" t="str">
            <v>107461 01</v>
          </cell>
          <cell r="B810">
            <v>10746101</v>
          </cell>
          <cell r="C810">
            <v>37535</v>
          </cell>
        </row>
        <row r="811">
          <cell r="A811" t="str">
            <v>107466 01</v>
          </cell>
          <cell r="B811">
            <v>10746601</v>
          </cell>
          <cell r="C811">
            <v>37535</v>
          </cell>
        </row>
        <row r="812">
          <cell r="A812" t="str">
            <v>107469 01</v>
          </cell>
          <cell r="B812">
            <v>10746901</v>
          </cell>
          <cell r="C812">
            <v>37535</v>
          </cell>
        </row>
        <row r="813">
          <cell r="A813" t="str">
            <v>107472 01</v>
          </cell>
          <cell r="B813">
            <v>10747201</v>
          </cell>
          <cell r="C813">
            <v>37530</v>
          </cell>
        </row>
        <row r="814">
          <cell r="A814" t="str">
            <v>107479 01</v>
          </cell>
          <cell r="B814">
            <v>10747901</v>
          </cell>
          <cell r="C814">
            <v>37535</v>
          </cell>
        </row>
        <row r="815">
          <cell r="A815" t="str">
            <v>107519 01</v>
          </cell>
          <cell r="B815">
            <v>10751901</v>
          </cell>
          <cell r="C815">
            <v>37535</v>
          </cell>
        </row>
        <row r="816">
          <cell r="A816" t="str">
            <v>107528 01</v>
          </cell>
          <cell r="B816">
            <v>10752801</v>
          </cell>
          <cell r="C816">
            <v>37530</v>
          </cell>
        </row>
        <row r="817">
          <cell r="A817" t="str">
            <v>107529 01</v>
          </cell>
          <cell r="B817">
            <v>10752901</v>
          </cell>
          <cell r="C817">
            <v>37530</v>
          </cell>
        </row>
        <row r="818">
          <cell r="A818" t="str">
            <v>107529 02</v>
          </cell>
          <cell r="B818">
            <v>10752902</v>
          </cell>
          <cell r="C818">
            <v>37530</v>
          </cell>
        </row>
        <row r="819">
          <cell r="A819" t="str">
            <v>107530 01</v>
          </cell>
          <cell r="B819">
            <v>10753001</v>
          </cell>
          <cell r="C819">
            <v>37530</v>
          </cell>
        </row>
        <row r="820">
          <cell r="A820" t="str">
            <v>107534 01</v>
          </cell>
          <cell r="B820">
            <v>10753401</v>
          </cell>
          <cell r="C820">
            <v>37535</v>
          </cell>
        </row>
        <row r="821">
          <cell r="A821" t="str">
            <v>107535 01</v>
          </cell>
          <cell r="B821">
            <v>10753501</v>
          </cell>
          <cell r="C821">
            <v>37530</v>
          </cell>
        </row>
        <row r="822">
          <cell r="A822" t="str">
            <v>107539 01</v>
          </cell>
          <cell r="B822">
            <v>10753901</v>
          </cell>
          <cell r="C822">
            <v>37530</v>
          </cell>
        </row>
        <row r="823">
          <cell r="A823" t="str">
            <v>107539 02</v>
          </cell>
          <cell r="B823">
            <v>10753902</v>
          </cell>
          <cell r="C823">
            <v>37530</v>
          </cell>
        </row>
        <row r="824">
          <cell r="A824" t="str">
            <v>107539 03</v>
          </cell>
          <cell r="B824">
            <v>10753903</v>
          </cell>
          <cell r="C824">
            <v>37530</v>
          </cell>
        </row>
        <row r="825">
          <cell r="A825" t="str">
            <v>107542 01</v>
          </cell>
          <cell r="B825">
            <v>10754201</v>
          </cell>
          <cell r="C825">
            <v>37530</v>
          </cell>
        </row>
        <row r="826">
          <cell r="A826" t="str">
            <v>107543 01</v>
          </cell>
          <cell r="B826">
            <v>10754301</v>
          </cell>
          <cell r="C826">
            <v>37530</v>
          </cell>
        </row>
        <row r="827">
          <cell r="A827" t="str">
            <v>107544 01</v>
          </cell>
          <cell r="B827">
            <v>10754401</v>
          </cell>
          <cell r="C827">
            <v>37530</v>
          </cell>
        </row>
        <row r="828">
          <cell r="A828" t="str">
            <v>107545 02</v>
          </cell>
          <cell r="B828">
            <v>10754502</v>
          </cell>
          <cell r="C828">
            <v>37530</v>
          </cell>
        </row>
        <row r="829">
          <cell r="A829" t="str">
            <v>107546 01</v>
          </cell>
          <cell r="B829">
            <v>10754601</v>
          </cell>
          <cell r="C829">
            <v>37530</v>
          </cell>
        </row>
        <row r="830">
          <cell r="A830" t="str">
            <v>107547 02</v>
          </cell>
          <cell r="B830">
            <v>10754702</v>
          </cell>
          <cell r="C830">
            <v>37530</v>
          </cell>
        </row>
        <row r="831">
          <cell r="A831" t="str">
            <v>107550 01</v>
          </cell>
          <cell r="B831">
            <v>10755001</v>
          </cell>
          <cell r="C831">
            <v>37535</v>
          </cell>
        </row>
        <row r="832">
          <cell r="A832" t="str">
            <v>107556 01</v>
          </cell>
          <cell r="B832">
            <v>10755601</v>
          </cell>
          <cell r="C832">
            <v>37535</v>
          </cell>
        </row>
        <row r="833">
          <cell r="A833" t="str">
            <v>107557 01</v>
          </cell>
          <cell r="B833">
            <v>10755701</v>
          </cell>
          <cell r="C833">
            <v>37535</v>
          </cell>
        </row>
        <row r="834">
          <cell r="A834" t="str">
            <v>107594 01</v>
          </cell>
          <cell r="B834">
            <v>10759401</v>
          </cell>
          <cell r="C834">
            <v>37535</v>
          </cell>
        </row>
        <row r="835">
          <cell r="A835" t="str">
            <v>107596 01</v>
          </cell>
          <cell r="B835">
            <v>10759601</v>
          </cell>
          <cell r="C835">
            <v>37530</v>
          </cell>
        </row>
        <row r="836">
          <cell r="A836" t="str">
            <v>107607 01</v>
          </cell>
          <cell r="B836">
            <v>10760701</v>
          </cell>
          <cell r="C836">
            <v>37535</v>
          </cell>
        </row>
        <row r="837">
          <cell r="A837" t="str">
            <v>107621 01</v>
          </cell>
          <cell r="B837">
            <v>10762101</v>
          </cell>
          <cell r="C837">
            <v>37535</v>
          </cell>
        </row>
        <row r="838">
          <cell r="A838" t="str">
            <v>107627 01</v>
          </cell>
          <cell r="B838">
            <v>10762701</v>
          </cell>
          <cell r="C838">
            <v>37535</v>
          </cell>
        </row>
        <row r="839">
          <cell r="A839" t="str">
            <v>107628 01</v>
          </cell>
          <cell r="B839">
            <v>10762801</v>
          </cell>
          <cell r="C839">
            <v>37535</v>
          </cell>
        </row>
        <row r="840">
          <cell r="A840" t="str">
            <v>107636 01</v>
          </cell>
          <cell r="B840">
            <v>10763601</v>
          </cell>
          <cell r="C840">
            <v>37535</v>
          </cell>
        </row>
        <row r="841">
          <cell r="A841" t="str">
            <v>107656 01</v>
          </cell>
          <cell r="B841">
            <v>10765601</v>
          </cell>
          <cell r="C841">
            <v>37530</v>
          </cell>
        </row>
        <row r="842">
          <cell r="A842" t="str">
            <v>107665 01</v>
          </cell>
          <cell r="B842">
            <v>10766501</v>
          </cell>
          <cell r="C842">
            <v>37530</v>
          </cell>
        </row>
        <row r="843">
          <cell r="A843" t="str">
            <v>107668 01</v>
          </cell>
          <cell r="B843">
            <v>10766801</v>
          </cell>
          <cell r="C843">
            <v>37535</v>
          </cell>
        </row>
        <row r="844">
          <cell r="A844" t="str">
            <v>107672 01</v>
          </cell>
          <cell r="B844">
            <v>10767201</v>
          </cell>
          <cell r="C844">
            <v>37535</v>
          </cell>
        </row>
        <row r="845">
          <cell r="A845" t="str">
            <v>107674 01</v>
          </cell>
          <cell r="B845">
            <v>10767401</v>
          </cell>
          <cell r="C845">
            <v>37535</v>
          </cell>
        </row>
        <row r="846">
          <cell r="A846" t="str">
            <v>107684 01</v>
          </cell>
          <cell r="B846">
            <v>10768401</v>
          </cell>
          <cell r="C846">
            <v>37535</v>
          </cell>
        </row>
        <row r="847">
          <cell r="A847" t="str">
            <v>107699 01</v>
          </cell>
          <cell r="B847">
            <v>10769901</v>
          </cell>
          <cell r="C847">
            <v>37530</v>
          </cell>
        </row>
        <row r="848">
          <cell r="A848" t="str">
            <v>107706 01</v>
          </cell>
          <cell r="B848">
            <v>10770601</v>
          </cell>
          <cell r="C848">
            <v>37530</v>
          </cell>
        </row>
        <row r="849">
          <cell r="A849" t="str">
            <v>107707 01</v>
          </cell>
          <cell r="B849">
            <v>10770701</v>
          </cell>
          <cell r="C849">
            <v>37530</v>
          </cell>
        </row>
        <row r="850">
          <cell r="A850" t="str">
            <v>107710 01</v>
          </cell>
          <cell r="B850">
            <v>10771001</v>
          </cell>
          <cell r="C850">
            <v>37535</v>
          </cell>
        </row>
        <row r="851">
          <cell r="A851" t="str">
            <v>107711 01</v>
          </cell>
          <cell r="B851">
            <v>10771101</v>
          </cell>
          <cell r="C851">
            <v>37535</v>
          </cell>
        </row>
        <row r="852">
          <cell r="A852" t="str">
            <v>107723 01</v>
          </cell>
          <cell r="B852">
            <v>10772301</v>
          </cell>
          <cell r="C852">
            <v>37530</v>
          </cell>
        </row>
        <row r="853">
          <cell r="A853" t="str">
            <v>107723 02</v>
          </cell>
          <cell r="B853">
            <v>10772302</v>
          </cell>
          <cell r="C853">
            <v>37530</v>
          </cell>
        </row>
        <row r="854">
          <cell r="A854" t="str">
            <v>107723 03</v>
          </cell>
          <cell r="B854">
            <v>10772303</v>
          </cell>
          <cell r="C854">
            <v>37530</v>
          </cell>
        </row>
        <row r="855">
          <cell r="A855" t="str">
            <v>107723 04</v>
          </cell>
          <cell r="B855">
            <v>10772304</v>
          </cell>
          <cell r="C855">
            <v>37530</v>
          </cell>
        </row>
        <row r="856">
          <cell r="A856" t="str">
            <v>107723 05</v>
          </cell>
          <cell r="B856">
            <v>10772305</v>
          </cell>
          <cell r="C856">
            <v>37530</v>
          </cell>
        </row>
        <row r="857">
          <cell r="A857" t="str">
            <v>107723 06</v>
          </cell>
          <cell r="B857">
            <v>10772306</v>
          </cell>
          <cell r="C857">
            <v>37530</v>
          </cell>
        </row>
        <row r="858">
          <cell r="A858" t="str">
            <v>107723 07</v>
          </cell>
          <cell r="B858">
            <v>10772307</v>
          </cell>
          <cell r="C858">
            <v>37530</v>
          </cell>
        </row>
        <row r="859">
          <cell r="A859" t="str">
            <v>107725 01</v>
          </cell>
          <cell r="B859">
            <v>10772501</v>
          </cell>
          <cell r="C859">
            <v>37530</v>
          </cell>
        </row>
        <row r="860">
          <cell r="A860" t="str">
            <v>107725 02</v>
          </cell>
          <cell r="B860">
            <v>10772502</v>
          </cell>
          <cell r="C860">
            <v>37530</v>
          </cell>
        </row>
        <row r="861">
          <cell r="A861" t="str">
            <v>107726 01</v>
          </cell>
          <cell r="B861">
            <v>10772601</v>
          </cell>
          <cell r="C861">
            <v>37530</v>
          </cell>
        </row>
        <row r="862">
          <cell r="A862" t="str">
            <v>107726 02</v>
          </cell>
          <cell r="B862">
            <v>10772602</v>
          </cell>
          <cell r="C862">
            <v>37530</v>
          </cell>
        </row>
        <row r="863">
          <cell r="A863" t="str">
            <v>107727 01</v>
          </cell>
          <cell r="B863">
            <v>10772701</v>
          </cell>
          <cell r="C863">
            <v>37530</v>
          </cell>
        </row>
        <row r="864">
          <cell r="A864" t="str">
            <v>107727 02</v>
          </cell>
          <cell r="B864">
            <v>10772702</v>
          </cell>
          <cell r="C864">
            <v>37530</v>
          </cell>
        </row>
        <row r="865">
          <cell r="A865" t="str">
            <v>107739 01</v>
          </cell>
          <cell r="B865">
            <v>10773901</v>
          </cell>
          <cell r="C865">
            <v>37535</v>
          </cell>
        </row>
        <row r="866">
          <cell r="A866" t="str">
            <v>107751 01</v>
          </cell>
          <cell r="B866">
            <v>10775101</v>
          </cell>
          <cell r="C866">
            <v>37535</v>
          </cell>
        </row>
        <row r="867">
          <cell r="A867" t="str">
            <v>107777 01</v>
          </cell>
          <cell r="B867">
            <v>10777701</v>
          </cell>
          <cell r="C867">
            <v>37535</v>
          </cell>
        </row>
        <row r="868">
          <cell r="A868" t="str">
            <v>107785 01</v>
          </cell>
          <cell r="B868">
            <v>10778501</v>
          </cell>
          <cell r="C868">
            <v>37530</v>
          </cell>
        </row>
        <row r="869">
          <cell r="A869" t="str">
            <v>107787 01</v>
          </cell>
          <cell r="B869">
            <v>10778701</v>
          </cell>
          <cell r="C869">
            <v>37535</v>
          </cell>
        </row>
        <row r="870">
          <cell r="A870" t="str">
            <v>107787 02</v>
          </cell>
          <cell r="B870">
            <v>10778702</v>
          </cell>
          <cell r="C870">
            <v>37530</v>
          </cell>
        </row>
        <row r="871">
          <cell r="A871" t="str">
            <v>107787 03</v>
          </cell>
          <cell r="B871">
            <v>10778703</v>
          </cell>
          <cell r="C871">
            <v>37530</v>
          </cell>
        </row>
        <row r="872">
          <cell r="A872" t="str">
            <v>107787 04</v>
          </cell>
          <cell r="B872">
            <v>10778704</v>
          </cell>
          <cell r="C872">
            <v>37530</v>
          </cell>
        </row>
        <row r="873">
          <cell r="A873" t="str">
            <v>107804 01</v>
          </cell>
          <cell r="B873">
            <v>10780401</v>
          </cell>
          <cell r="C873">
            <v>37530</v>
          </cell>
        </row>
        <row r="874">
          <cell r="A874" t="str">
            <v>107805 01</v>
          </cell>
          <cell r="B874">
            <v>10780501</v>
          </cell>
          <cell r="C874">
            <v>37530</v>
          </cell>
        </row>
        <row r="875">
          <cell r="A875" t="str">
            <v>107805 02</v>
          </cell>
          <cell r="B875">
            <v>10780502</v>
          </cell>
          <cell r="C875">
            <v>37530</v>
          </cell>
        </row>
        <row r="876">
          <cell r="A876" t="str">
            <v>107805 03</v>
          </cell>
          <cell r="B876">
            <v>10780503</v>
          </cell>
          <cell r="C876">
            <v>37530</v>
          </cell>
        </row>
        <row r="877">
          <cell r="A877" t="str">
            <v>107805 04</v>
          </cell>
          <cell r="B877">
            <v>10780504</v>
          </cell>
          <cell r="C877">
            <v>37530</v>
          </cell>
        </row>
        <row r="878">
          <cell r="A878" t="str">
            <v>107805 05</v>
          </cell>
          <cell r="B878">
            <v>10780505</v>
          </cell>
          <cell r="C878">
            <v>37530</v>
          </cell>
        </row>
        <row r="879">
          <cell r="A879" t="str">
            <v>107805 06</v>
          </cell>
          <cell r="B879">
            <v>10780506</v>
          </cell>
          <cell r="C879">
            <v>37530</v>
          </cell>
        </row>
        <row r="880">
          <cell r="A880" t="str">
            <v>107805 07</v>
          </cell>
          <cell r="B880">
            <v>10780507</v>
          </cell>
          <cell r="C880">
            <v>37530</v>
          </cell>
        </row>
        <row r="881">
          <cell r="A881" t="str">
            <v>107805 08</v>
          </cell>
          <cell r="B881">
            <v>10780508</v>
          </cell>
          <cell r="C881">
            <v>37530</v>
          </cell>
        </row>
        <row r="882">
          <cell r="A882" t="str">
            <v>107805 09</v>
          </cell>
          <cell r="B882">
            <v>10780509</v>
          </cell>
          <cell r="C882">
            <v>37530</v>
          </cell>
        </row>
        <row r="883">
          <cell r="A883" t="str">
            <v>107805 10</v>
          </cell>
          <cell r="B883">
            <v>10780510</v>
          </cell>
          <cell r="C883">
            <v>37530</v>
          </cell>
        </row>
        <row r="884">
          <cell r="A884" t="str">
            <v>107805 11</v>
          </cell>
          <cell r="B884">
            <v>10780511</v>
          </cell>
          <cell r="C884">
            <v>37530</v>
          </cell>
        </row>
        <row r="885">
          <cell r="A885" t="str">
            <v>107805 12</v>
          </cell>
          <cell r="B885">
            <v>10780512</v>
          </cell>
          <cell r="C885">
            <v>37530</v>
          </cell>
        </row>
        <row r="886">
          <cell r="A886" t="str">
            <v>107806 01</v>
          </cell>
          <cell r="B886">
            <v>10780601</v>
          </cell>
          <cell r="C886">
            <v>37530</v>
          </cell>
        </row>
        <row r="887">
          <cell r="A887" t="str">
            <v>107806 02</v>
          </cell>
          <cell r="B887">
            <v>10780602</v>
          </cell>
          <cell r="C887">
            <v>37530</v>
          </cell>
        </row>
        <row r="888">
          <cell r="A888" t="str">
            <v>107806 03</v>
          </cell>
          <cell r="B888">
            <v>10780603</v>
          </cell>
          <cell r="C888">
            <v>37530</v>
          </cell>
        </row>
        <row r="889">
          <cell r="A889" t="str">
            <v>107806 04</v>
          </cell>
          <cell r="B889">
            <v>10780604</v>
          </cell>
          <cell r="C889">
            <v>37530</v>
          </cell>
        </row>
        <row r="890">
          <cell r="A890" t="str">
            <v>107806 05</v>
          </cell>
          <cell r="B890">
            <v>10780605</v>
          </cell>
          <cell r="C890">
            <v>37530</v>
          </cell>
        </row>
        <row r="891">
          <cell r="A891" t="str">
            <v>107806 06</v>
          </cell>
          <cell r="B891">
            <v>10780606</v>
          </cell>
          <cell r="C891">
            <v>37530</v>
          </cell>
        </row>
        <row r="892">
          <cell r="A892" t="str">
            <v>107806 07</v>
          </cell>
          <cell r="B892">
            <v>10780607</v>
          </cell>
          <cell r="C892">
            <v>37530</v>
          </cell>
        </row>
        <row r="893">
          <cell r="A893" t="str">
            <v>107812 01</v>
          </cell>
          <cell r="B893">
            <v>10781201</v>
          </cell>
          <cell r="C893">
            <v>37530</v>
          </cell>
        </row>
        <row r="894">
          <cell r="A894" t="str">
            <v>107813 01</v>
          </cell>
          <cell r="B894">
            <v>10781301</v>
          </cell>
          <cell r="C894">
            <v>37535</v>
          </cell>
        </row>
        <row r="895">
          <cell r="A895" t="str">
            <v>107826 01</v>
          </cell>
          <cell r="B895">
            <v>10782601</v>
          </cell>
          <cell r="C895">
            <v>37535</v>
          </cell>
        </row>
        <row r="896">
          <cell r="A896" t="str">
            <v>107829 01</v>
          </cell>
          <cell r="B896">
            <v>10782901</v>
          </cell>
          <cell r="C896">
            <v>37535</v>
          </cell>
        </row>
        <row r="897">
          <cell r="A897" t="str">
            <v>107859 01</v>
          </cell>
          <cell r="B897">
            <v>10785901</v>
          </cell>
          <cell r="C897">
            <v>37530</v>
          </cell>
        </row>
        <row r="898">
          <cell r="A898" t="str">
            <v>107861 01</v>
          </cell>
          <cell r="B898">
            <v>10786101</v>
          </cell>
          <cell r="C898">
            <v>37535</v>
          </cell>
        </row>
        <row r="899">
          <cell r="A899" t="str">
            <v>107872 01</v>
          </cell>
          <cell r="B899">
            <v>10787201</v>
          </cell>
          <cell r="C899">
            <v>37535</v>
          </cell>
        </row>
        <row r="900">
          <cell r="A900" t="str">
            <v>107873 01</v>
          </cell>
          <cell r="B900">
            <v>10787301</v>
          </cell>
          <cell r="C900">
            <v>37530</v>
          </cell>
        </row>
        <row r="901">
          <cell r="A901" t="str">
            <v>107896 01</v>
          </cell>
          <cell r="B901">
            <v>10789601</v>
          </cell>
          <cell r="C901">
            <v>37535</v>
          </cell>
        </row>
        <row r="902">
          <cell r="A902" t="str">
            <v>107902 01</v>
          </cell>
          <cell r="B902">
            <v>10790201</v>
          </cell>
          <cell r="C902">
            <v>37535</v>
          </cell>
        </row>
        <row r="903">
          <cell r="A903" t="str">
            <v>107905 01</v>
          </cell>
          <cell r="B903">
            <v>10790501</v>
          </cell>
          <cell r="C903">
            <v>37535</v>
          </cell>
        </row>
        <row r="904">
          <cell r="A904" t="str">
            <v>107906 01</v>
          </cell>
          <cell r="B904">
            <v>10790601</v>
          </cell>
          <cell r="C904">
            <v>37535</v>
          </cell>
        </row>
        <row r="905">
          <cell r="A905" t="str">
            <v>107912 01</v>
          </cell>
          <cell r="B905">
            <v>10791201</v>
          </cell>
          <cell r="C905">
            <v>37530</v>
          </cell>
        </row>
        <row r="906">
          <cell r="A906" t="str">
            <v>107912 02</v>
          </cell>
          <cell r="B906">
            <v>10791202</v>
          </cell>
          <cell r="C906">
            <v>37530</v>
          </cell>
        </row>
        <row r="907">
          <cell r="A907" t="str">
            <v>107912 03</v>
          </cell>
          <cell r="B907">
            <v>10791203</v>
          </cell>
          <cell r="C907">
            <v>37530</v>
          </cell>
        </row>
        <row r="908">
          <cell r="A908" t="str">
            <v>107912 04</v>
          </cell>
          <cell r="B908">
            <v>10791204</v>
          </cell>
          <cell r="C908">
            <v>37530</v>
          </cell>
        </row>
        <row r="909">
          <cell r="A909" t="str">
            <v>107922 01</v>
          </cell>
          <cell r="B909">
            <v>10792201</v>
          </cell>
          <cell r="C909">
            <v>37530</v>
          </cell>
        </row>
        <row r="910">
          <cell r="A910" t="str">
            <v>107925 01</v>
          </cell>
          <cell r="B910">
            <v>10792501</v>
          </cell>
          <cell r="C910">
            <v>37535</v>
          </cell>
        </row>
        <row r="911">
          <cell r="A911" t="str">
            <v>107954 01</v>
          </cell>
          <cell r="B911">
            <v>10795401</v>
          </cell>
          <cell r="C911">
            <v>37530</v>
          </cell>
        </row>
        <row r="912">
          <cell r="A912" t="str">
            <v>107955 01</v>
          </cell>
          <cell r="B912">
            <v>10795501</v>
          </cell>
          <cell r="C912">
            <v>37530</v>
          </cell>
        </row>
        <row r="913">
          <cell r="A913" t="str">
            <v>107962 01</v>
          </cell>
          <cell r="B913">
            <v>10796201</v>
          </cell>
          <cell r="C913">
            <v>37535</v>
          </cell>
        </row>
        <row r="914">
          <cell r="A914" t="str">
            <v>107990 01</v>
          </cell>
          <cell r="B914">
            <v>10799001</v>
          </cell>
          <cell r="C914">
            <v>37530</v>
          </cell>
        </row>
        <row r="915">
          <cell r="A915" t="str">
            <v>107992 01</v>
          </cell>
          <cell r="B915">
            <v>10799201</v>
          </cell>
          <cell r="C915">
            <v>37535</v>
          </cell>
        </row>
        <row r="916">
          <cell r="A916" t="str">
            <v>107992 02</v>
          </cell>
          <cell r="B916">
            <v>10799202</v>
          </cell>
          <cell r="C916">
            <v>37535</v>
          </cell>
        </row>
        <row r="917">
          <cell r="A917" t="str">
            <v>107992 03</v>
          </cell>
          <cell r="B917">
            <v>10799203</v>
          </cell>
          <cell r="C917">
            <v>37535</v>
          </cell>
        </row>
        <row r="918">
          <cell r="A918" t="str">
            <v>107992 04</v>
          </cell>
          <cell r="B918">
            <v>10799204</v>
          </cell>
          <cell r="C918">
            <v>37535</v>
          </cell>
        </row>
        <row r="919">
          <cell r="A919" t="str">
            <v>107992 05</v>
          </cell>
          <cell r="B919">
            <v>10799205</v>
          </cell>
          <cell r="C919">
            <v>37535</v>
          </cell>
        </row>
        <row r="920">
          <cell r="A920" t="str">
            <v>107992 06</v>
          </cell>
          <cell r="B920">
            <v>10799206</v>
          </cell>
          <cell r="C920">
            <v>37530</v>
          </cell>
        </row>
        <row r="921">
          <cell r="A921" t="str">
            <v>107992 07</v>
          </cell>
          <cell r="B921">
            <v>10799207</v>
          </cell>
          <cell r="C921">
            <v>37535</v>
          </cell>
        </row>
        <row r="922">
          <cell r="A922" t="str">
            <v>107993 01</v>
          </cell>
          <cell r="B922">
            <v>10799301</v>
          </cell>
          <cell r="C922">
            <v>37535</v>
          </cell>
        </row>
        <row r="923">
          <cell r="A923" t="str">
            <v>107996 01</v>
          </cell>
          <cell r="B923">
            <v>10799601</v>
          </cell>
          <cell r="C923">
            <v>37535</v>
          </cell>
        </row>
        <row r="924">
          <cell r="A924" t="str">
            <v>108001 01</v>
          </cell>
          <cell r="B924">
            <v>10800101</v>
          </cell>
          <cell r="C924">
            <v>37535</v>
          </cell>
        </row>
        <row r="925">
          <cell r="A925" t="str">
            <v>108001 02</v>
          </cell>
          <cell r="B925">
            <v>10800102</v>
          </cell>
          <cell r="C925">
            <v>37535</v>
          </cell>
        </row>
        <row r="926">
          <cell r="A926" t="str">
            <v>108001 03</v>
          </cell>
          <cell r="B926">
            <v>10800103</v>
          </cell>
          <cell r="C926">
            <v>37535</v>
          </cell>
        </row>
        <row r="927">
          <cell r="A927" t="str">
            <v>108002 01</v>
          </cell>
          <cell r="B927">
            <v>10800201</v>
          </cell>
          <cell r="C927">
            <v>37535</v>
          </cell>
        </row>
        <row r="928">
          <cell r="A928" t="str">
            <v>108002 02</v>
          </cell>
          <cell r="B928">
            <v>10800202</v>
          </cell>
          <cell r="C928">
            <v>37535</v>
          </cell>
        </row>
        <row r="929">
          <cell r="A929" t="str">
            <v>108002 03</v>
          </cell>
          <cell r="B929">
            <v>10800203</v>
          </cell>
          <cell r="C929">
            <v>37535</v>
          </cell>
        </row>
        <row r="930">
          <cell r="A930" t="str">
            <v>108002 04</v>
          </cell>
          <cell r="B930">
            <v>10800204</v>
          </cell>
          <cell r="C930">
            <v>37535</v>
          </cell>
        </row>
        <row r="931">
          <cell r="A931" t="str">
            <v>108002 05</v>
          </cell>
          <cell r="B931">
            <v>10800205</v>
          </cell>
          <cell r="C931">
            <v>37535</v>
          </cell>
        </row>
        <row r="932">
          <cell r="A932" t="str">
            <v>108002 06</v>
          </cell>
          <cell r="B932">
            <v>10800206</v>
          </cell>
          <cell r="C932">
            <v>37535</v>
          </cell>
        </row>
        <row r="933">
          <cell r="A933" t="str">
            <v>108002 07</v>
          </cell>
          <cell r="B933">
            <v>10800207</v>
          </cell>
          <cell r="C933">
            <v>37535</v>
          </cell>
        </row>
        <row r="934">
          <cell r="A934" t="str">
            <v>108003 01</v>
          </cell>
          <cell r="B934">
            <v>10800301</v>
          </cell>
          <cell r="C934">
            <v>37535</v>
          </cell>
        </row>
        <row r="935">
          <cell r="A935" t="str">
            <v>108003 02</v>
          </cell>
          <cell r="B935">
            <v>10800302</v>
          </cell>
          <cell r="C935">
            <v>37535</v>
          </cell>
        </row>
        <row r="936">
          <cell r="A936" t="str">
            <v>108003 03</v>
          </cell>
          <cell r="B936">
            <v>10800303</v>
          </cell>
          <cell r="C936">
            <v>37535</v>
          </cell>
        </row>
        <row r="937">
          <cell r="A937" t="str">
            <v>108004 01</v>
          </cell>
          <cell r="B937">
            <v>10800401</v>
          </cell>
          <cell r="C937">
            <v>37535</v>
          </cell>
        </row>
        <row r="938">
          <cell r="A938" t="str">
            <v>108004 02</v>
          </cell>
          <cell r="B938">
            <v>10800402</v>
          </cell>
          <cell r="C938">
            <v>37535</v>
          </cell>
        </row>
        <row r="939">
          <cell r="A939" t="str">
            <v>108004 03</v>
          </cell>
          <cell r="B939">
            <v>10800403</v>
          </cell>
          <cell r="C939">
            <v>37535</v>
          </cell>
        </row>
        <row r="940">
          <cell r="A940" t="str">
            <v>108004 04</v>
          </cell>
          <cell r="B940">
            <v>10800404</v>
          </cell>
          <cell r="C940">
            <v>37535</v>
          </cell>
        </row>
        <row r="941">
          <cell r="A941" t="str">
            <v>108004 05</v>
          </cell>
          <cell r="B941">
            <v>10800405</v>
          </cell>
          <cell r="C941">
            <v>37535</v>
          </cell>
        </row>
        <row r="942">
          <cell r="A942" t="str">
            <v>108004 06</v>
          </cell>
          <cell r="B942">
            <v>10800406</v>
          </cell>
          <cell r="C942">
            <v>37535</v>
          </cell>
        </row>
        <row r="943">
          <cell r="A943" t="str">
            <v>108004 07</v>
          </cell>
          <cell r="B943">
            <v>10800407</v>
          </cell>
          <cell r="C943">
            <v>37530</v>
          </cell>
        </row>
        <row r="944">
          <cell r="A944" t="str">
            <v>108024 01</v>
          </cell>
          <cell r="B944">
            <v>10802401</v>
          </cell>
          <cell r="C944">
            <v>37535</v>
          </cell>
        </row>
        <row r="945">
          <cell r="A945" t="str">
            <v>108024 02</v>
          </cell>
          <cell r="B945">
            <v>10802402</v>
          </cell>
          <cell r="C945">
            <v>37535</v>
          </cell>
        </row>
        <row r="946">
          <cell r="A946" t="str">
            <v>108024 03</v>
          </cell>
          <cell r="B946">
            <v>10802403</v>
          </cell>
          <cell r="C946">
            <v>37535</v>
          </cell>
        </row>
        <row r="947">
          <cell r="A947" t="str">
            <v>108024 04</v>
          </cell>
          <cell r="B947">
            <v>10802404</v>
          </cell>
          <cell r="C947">
            <v>37535</v>
          </cell>
        </row>
        <row r="948">
          <cell r="A948" t="str">
            <v>108024 05</v>
          </cell>
          <cell r="B948">
            <v>10802405</v>
          </cell>
          <cell r="C948">
            <v>37535</v>
          </cell>
        </row>
        <row r="949">
          <cell r="A949" t="str">
            <v>108031 01</v>
          </cell>
          <cell r="B949">
            <v>10803101</v>
          </cell>
          <cell r="C949">
            <v>37530</v>
          </cell>
        </row>
        <row r="950">
          <cell r="A950" t="str">
            <v>108035 01</v>
          </cell>
          <cell r="B950">
            <v>10803501</v>
          </cell>
          <cell r="C950">
            <v>37530</v>
          </cell>
        </row>
        <row r="951">
          <cell r="A951" t="str">
            <v>108035 02</v>
          </cell>
          <cell r="B951">
            <v>10803502</v>
          </cell>
          <cell r="C951">
            <v>37530</v>
          </cell>
        </row>
        <row r="952">
          <cell r="A952" t="str">
            <v>108035 03</v>
          </cell>
          <cell r="B952">
            <v>10803503</v>
          </cell>
          <cell r="C952">
            <v>37530</v>
          </cell>
        </row>
        <row r="953">
          <cell r="A953" t="str">
            <v>108067 01</v>
          </cell>
          <cell r="B953">
            <v>10806701</v>
          </cell>
          <cell r="C953">
            <v>37530</v>
          </cell>
        </row>
        <row r="954">
          <cell r="A954" t="str">
            <v>108074 01</v>
          </cell>
          <cell r="B954">
            <v>10807401</v>
          </cell>
          <cell r="C954">
            <v>37530</v>
          </cell>
        </row>
        <row r="955">
          <cell r="A955" t="str">
            <v>108074 02</v>
          </cell>
          <cell r="B955">
            <v>10807402</v>
          </cell>
          <cell r="C955">
            <v>37530</v>
          </cell>
        </row>
        <row r="956">
          <cell r="A956" t="str">
            <v>108075 01</v>
          </cell>
          <cell r="B956">
            <v>10807501</v>
          </cell>
          <cell r="C956">
            <v>37530</v>
          </cell>
        </row>
        <row r="957">
          <cell r="A957" t="str">
            <v>108076 01</v>
          </cell>
          <cell r="B957">
            <v>10807601</v>
          </cell>
          <cell r="C957">
            <v>37530</v>
          </cell>
        </row>
        <row r="958">
          <cell r="A958" t="str">
            <v>108077 01</v>
          </cell>
          <cell r="B958">
            <v>10807701</v>
          </cell>
          <cell r="C958">
            <v>37530</v>
          </cell>
        </row>
        <row r="959">
          <cell r="A959" t="str">
            <v>108078 01</v>
          </cell>
          <cell r="B959">
            <v>10807801</v>
          </cell>
          <cell r="C959">
            <v>37530</v>
          </cell>
        </row>
        <row r="960">
          <cell r="A960" t="str">
            <v>108086 01</v>
          </cell>
          <cell r="B960">
            <v>10808601</v>
          </cell>
          <cell r="C960">
            <v>37530</v>
          </cell>
        </row>
        <row r="961">
          <cell r="A961" t="str">
            <v>108089 01</v>
          </cell>
          <cell r="B961">
            <v>10808901</v>
          </cell>
          <cell r="C961">
            <v>37535</v>
          </cell>
        </row>
        <row r="962">
          <cell r="A962" t="str">
            <v>108089 02</v>
          </cell>
          <cell r="B962">
            <v>10808902</v>
          </cell>
          <cell r="C962">
            <v>37535</v>
          </cell>
        </row>
        <row r="963">
          <cell r="A963" t="str">
            <v>108089 03</v>
          </cell>
          <cell r="B963">
            <v>10808903</v>
          </cell>
          <cell r="C963">
            <v>37535</v>
          </cell>
        </row>
        <row r="964">
          <cell r="A964" t="str">
            <v>108089 04</v>
          </cell>
          <cell r="B964">
            <v>10808904</v>
          </cell>
          <cell r="C964">
            <v>37530</v>
          </cell>
        </row>
        <row r="965">
          <cell r="A965" t="str">
            <v>108089 05</v>
          </cell>
          <cell r="B965">
            <v>10808905</v>
          </cell>
          <cell r="C965">
            <v>37535</v>
          </cell>
        </row>
        <row r="966">
          <cell r="A966" t="str">
            <v>108089 06</v>
          </cell>
          <cell r="B966">
            <v>10808906</v>
          </cell>
          <cell r="C966">
            <v>37535</v>
          </cell>
        </row>
        <row r="967">
          <cell r="A967" t="str">
            <v>108089 07</v>
          </cell>
          <cell r="B967">
            <v>10808907</v>
          </cell>
          <cell r="C967">
            <v>37535</v>
          </cell>
        </row>
        <row r="968">
          <cell r="A968" t="str">
            <v>108089 08</v>
          </cell>
          <cell r="B968">
            <v>10808908</v>
          </cell>
          <cell r="C968">
            <v>37535</v>
          </cell>
        </row>
        <row r="969">
          <cell r="A969" t="str">
            <v>108090 01</v>
          </cell>
          <cell r="B969">
            <v>10809001</v>
          </cell>
          <cell r="C969">
            <v>37381</v>
          </cell>
        </row>
        <row r="970">
          <cell r="A970" t="str">
            <v>108095 01</v>
          </cell>
          <cell r="B970">
            <v>10809501</v>
          </cell>
          <cell r="C970">
            <v>37530</v>
          </cell>
        </row>
        <row r="971">
          <cell r="A971" t="str">
            <v>108096 01</v>
          </cell>
          <cell r="B971">
            <v>10809601</v>
          </cell>
          <cell r="C971">
            <v>37530</v>
          </cell>
        </row>
        <row r="972">
          <cell r="A972" t="str">
            <v>108102 01</v>
          </cell>
          <cell r="B972">
            <v>10810201</v>
          </cell>
          <cell r="C972">
            <v>37535</v>
          </cell>
        </row>
        <row r="973">
          <cell r="A973" t="str">
            <v>108103 01</v>
          </cell>
          <cell r="B973">
            <v>10810301</v>
          </cell>
          <cell r="C973">
            <v>37530</v>
          </cell>
        </row>
        <row r="974">
          <cell r="A974" t="str">
            <v>108103 02</v>
          </cell>
          <cell r="B974">
            <v>10810302</v>
          </cell>
          <cell r="C974">
            <v>37530</v>
          </cell>
        </row>
        <row r="975">
          <cell r="A975" t="str">
            <v>108103 03</v>
          </cell>
          <cell r="B975">
            <v>10810303</v>
          </cell>
          <cell r="C975">
            <v>37530</v>
          </cell>
        </row>
        <row r="976">
          <cell r="A976" t="str">
            <v>108105 01</v>
          </cell>
          <cell r="B976">
            <v>10810501</v>
          </cell>
          <cell r="C976">
            <v>37535</v>
          </cell>
        </row>
        <row r="977">
          <cell r="A977" t="str">
            <v>108106 01</v>
          </cell>
          <cell r="B977">
            <v>10810601</v>
          </cell>
          <cell r="C977">
            <v>37535</v>
          </cell>
        </row>
        <row r="978">
          <cell r="A978" t="str">
            <v>108106 02</v>
          </cell>
          <cell r="B978">
            <v>10810602</v>
          </cell>
          <cell r="C978">
            <v>37535</v>
          </cell>
        </row>
        <row r="979">
          <cell r="A979" t="str">
            <v>108108 01</v>
          </cell>
          <cell r="B979">
            <v>10810801</v>
          </cell>
          <cell r="C979">
            <v>37530</v>
          </cell>
        </row>
        <row r="980">
          <cell r="A980" t="str">
            <v>108124 01</v>
          </cell>
          <cell r="B980">
            <v>10812401</v>
          </cell>
          <cell r="C980">
            <v>37535</v>
          </cell>
        </row>
        <row r="981">
          <cell r="A981" t="str">
            <v>108127 01</v>
          </cell>
          <cell r="B981">
            <v>10812701</v>
          </cell>
          <cell r="C981">
            <v>37535</v>
          </cell>
        </row>
        <row r="982">
          <cell r="A982" t="str">
            <v>108127 02</v>
          </cell>
          <cell r="B982">
            <v>10812702</v>
          </cell>
          <cell r="C982">
            <v>37530</v>
          </cell>
        </row>
        <row r="983">
          <cell r="A983" t="str">
            <v>108127 03</v>
          </cell>
          <cell r="B983">
            <v>10812703</v>
          </cell>
          <cell r="C983">
            <v>37530</v>
          </cell>
        </row>
        <row r="984">
          <cell r="A984" t="str">
            <v>108127 04</v>
          </cell>
          <cell r="B984">
            <v>10812704</v>
          </cell>
          <cell r="C984">
            <v>37535</v>
          </cell>
        </row>
        <row r="985">
          <cell r="A985" t="str">
            <v>108127 05</v>
          </cell>
          <cell r="B985">
            <v>10812705</v>
          </cell>
          <cell r="C985">
            <v>37535</v>
          </cell>
        </row>
        <row r="986">
          <cell r="A986" t="str">
            <v>108127 06</v>
          </cell>
          <cell r="B986">
            <v>10812706</v>
          </cell>
          <cell r="C986">
            <v>37535</v>
          </cell>
        </row>
        <row r="987">
          <cell r="A987" t="str">
            <v>108127 07</v>
          </cell>
          <cell r="B987">
            <v>10812707</v>
          </cell>
          <cell r="C987">
            <v>37535</v>
          </cell>
        </row>
        <row r="988">
          <cell r="A988" t="str">
            <v>108127 08</v>
          </cell>
          <cell r="B988">
            <v>10812708</v>
          </cell>
          <cell r="C988">
            <v>37535</v>
          </cell>
        </row>
        <row r="989">
          <cell r="A989" t="str">
            <v>108127 09</v>
          </cell>
          <cell r="B989">
            <v>10812709</v>
          </cell>
          <cell r="C989">
            <v>37535</v>
          </cell>
        </row>
        <row r="990">
          <cell r="A990" t="str">
            <v>108127 10</v>
          </cell>
          <cell r="B990">
            <v>10812710</v>
          </cell>
          <cell r="C990">
            <v>37530</v>
          </cell>
        </row>
        <row r="991">
          <cell r="A991" t="str">
            <v>108127 11</v>
          </cell>
          <cell r="B991">
            <v>10812711</v>
          </cell>
          <cell r="C991">
            <v>37530</v>
          </cell>
        </row>
        <row r="992">
          <cell r="A992" t="str">
            <v>108128 02</v>
          </cell>
          <cell r="B992">
            <v>10812802</v>
          </cell>
          <cell r="C992">
            <v>37535</v>
          </cell>
        </row>
        <row r="993">
          <cell r="A993" t="str">
            <v>108128 03</v>
          </cell>
          <cell r="B993">
            <v>10812803</v>
          </cell>
          <cell r="C993">
            <v>37535</v>
          </cell>
        </row>
        <row r="994">
          <cell r="A994" t="str">
            <v>108128 04</v>
          </cell>
          <cell r="B994">
            <v>10812804</v>
          </cell>
          <cell r="C994">
            <v>37535</v>
          </cell>
        </row>
        <row r="995">
          <cell r="A995" t="str">
            <v>108128 05</v>
          </cell>
          <cell r="B995">
            <v>10812805</v>
          </cell>
          <cell r="C995">
            <v>37535</v>
          </cell>
        </row>
        <row r="996">
          <cell r="A996" t="str">
            <v>108128 06</v>
          </cell>
          <cell r="B996">
            <v>10812806</v>
          </cell>
          <cell r="C996">
            <v>37535</v>
          </cell>
        </row>
        <row r="997">
          <cell r="A997" t="str">
            <v>108128 07</v>
          </cell>
          <cell r="B997">
            <v>10812807</v>
          </cell>
          <cell r="C997">
            <v>37535</v>
          </cell>
        </row>
        <row r="998">
          <cell r="A998" t="str">
            <v>108128 08</v>
          </cell>
          <cell r="B998">
            <v>10812808</v>
          </cell>
          <cell r="C998">
            <v>37535</v>
          </cell>
        </row>
        <row r="999">
          <cell r="A999" t="str">
            <v>108147 01</v>
          </cell>
          <cell r="B999">
            <v>10814701</v>
          </cell>
          <cell r="C999">
            <v>37530</v>
          </cell>
        </row>
        <row r="1000">
          <cell r="A1000" t="str">
            <v>108147 02</v>
          </cell>
          <cell r="B1000">
            <v>10814702</v>
          </cell>
          <cell r="C1000">
            <v>37535</v>
          </cell>
        </row>
        <row r="1001">
          <cell r="A1001" t="str">
            <v>108147 03</v>
          </cell>
          <cell r="B1001">
            <v>10814703</v>
          </cell>
          <cell r="C1001">
            <v>37535</v>
          </cell>
        </row>
        <row r="1002">
          <cell r="A1002" t="str">
            <v>108147 04</v>
          </cell>
          <cell r="B1002">
            <v>10814704</v>
          </cell>
          <cell r="C1002">
            <v>37535</v>
          </cell>
        </row>
        <row r="1003">
          <cell r="A1003" t="str">
            <v>108147 05</v>
          </cell>
          <cell r="B1003">
            <v>10814705</v>
          </cell>
          <cell r="C1003">
            <v>37535</v>
          </cell>
        </row>
        <row r="1004">
          <cell r="A1004" t="str">
            <v>108147 06</v>
          </cell>
          <cell r="B1004">
            <v>10814706</v>
          </cell>
          <cell r="C1004">
            <v>37535</v>
          </cell>
        </row>
        <row r="1005">
          <cell r="A1005" t="str">
            <v>108147 07</v>
          </cell>
          <cell r="B1005">
            <v>10814707</v>
          </cell>
          <cell r="C1005">
            <v>37530</v>
          </cell>
        </row>
        <row r="1006">
          <cell r="A1006" t="str">
            <v>108147 08</v>
          </cell>
          <cell r="B1006">
            <v>10814708</v>
          </cell>
          <cell r="C1006">
            <v>37535</v>
          </cell>
        </row>
        <row r="1007">
          <cell r="A1007" t="str">
            <v>108147 09</v>
          </cell>
          <cell r="B1007">
            <v>10814709</v>
          </cell>
          <cell r="C1007">
            <v>37535</v>
          </cell>
        </row>
        <row r="1008">
          <cell r="A1008" t="str">
            <v>108147 10</v>
          </cell>
          <cell r="B1008">
            <v>10814710</v>
          </cell>
          <cell r="C1008">
            <v>37535</v>
          </cell>
        </row>
        <row r="1009">
          <cell r="A1009" t="str">
            <v>108149 01</v>
          </cell>
          <cell r="B1009">
            <v>10814901</v>
          </cell>
          <cell r="C1009">
            <v>37530</v>
          </cell>
        </row>
        <row r="1010">
          <cell r="A1010" t="str">
            <v>108149 02</v>
          </cell>
          <cell r="B1010">
            <v>10814902</v>
          </cell>
          <cell r="C1010">
            <v>37530</v>
          </cell>
        </row>
        <row r="1011">
          <cell r="A1011" t="str">
            <v>108149 03</v>
          </cell>
          <cell r="B1011">
            <v>10814903</v>
          </cell>
          <cell r="C1011">
            <v>37530</v>
          </cell>
        </row>
        <row r="1012">
          <cell r="A1012" t="str">
            <v>108149 04</v>
          </cell>
          <cell r="B1012">
            <v>10814904</v>
          </cell>
          <cell r="C1012">
            <v>37530</v>
          </cell>
        </row>
        <row r="1013">
          <cell r="A1013" t="str">
            <v>108149 05</v>
          </cell>
          <cell r="B1013">
            <v>10814905</v>
          </cell>
          <cell r="C1013">
            <v>37535</v>
          </cell>
        </row>
        <row r="1014">
          <cell r="A1014" t="str">
            <v>108149 06</v>
          </cell>
          <cell r="B1014">
            <v>10814906</v>
          </cell>
          <cell r="C1014">
            <v>37530</v>
          </cell>
        </row>
        <row r="1015">
          <cell r="A1015" t="str">
            <v>108149 07</v>
          </cell>
          <cell r="B1015">
            <v>10814907</v>
          </cell>
          <cell r="C1015">
            <v>37535</v>
          </cell>
        </row>
        <row r="1016">
          <cell r="A1016" t="str">
            <v>108151 01</v>
          </cell>
          <cell r="B1016">
            <v>10815101</v>
          </cell>
          <cell r="C1016">
            <v>37530</v>
          </cell>
        </row>
        <row r="1017">
          <cell r="A1017" t="str">
            <v>108152 01</v>
          </cell>
          <cell r="B1017">
            <v>10815201</v>
          </cell>
          <cell r="C1017">
            <v>37530</v>
          </cell>
        </row>
        <row r="1018">
          <cell r="A1018" t="str">
            <v>108153 01</v>
          </cell>
          <cell r="B1018">
            <v>10815301</v>
          </cell>
          <cell r="C1018">
            <v>37530</v>
          </cell>
        </row>
        <row r="1019">
          <cell r="A1019" t="str">
            <v>108154 01</v>
          </cell>
          <cell r="B1019">
            <v>10815401</v>
          </cell>
          <cell r="C1019">
            <v>37535</v>
          </cell>
        </row>
        <row r="1020">
          <cell r="A1020" t="str">
            <v>108159 01</v>
          </cell>
          <cell r="B1020">
            <v>10815901</v>
          </cell>
          <cell r="C1020">
            <v>37535</v>
          </cell>
        </row>
        <row r="1021">
          <cell r="A1021" t="str">
            <v>108180 01</v>
          </cell>
          <cell r="B1021">
            <v>10818001</v>
          </cell>
          <cell r="C1021">
            <v>37535</v>
          </cell>
        </row>
        <row r="1022">
          <cell r="A1022" t="str">
            <v>108193 01</v>
          </cell>
          <cell r="B1022">
            <v>10819301</v>
          </cell>
          <cell r="C1022">
            <v>37530</v>
          </cell>
        </row>
        <row r="1023">
          <cell r="A1023" t="str">
            <v>108193 02</v>
          </cell>
          <cell r="B1023">
            <v>10819302</v>
          </cell>
          <cell r="C1023">
            <v>37530</v>
          </cell>
        </row>
        <row r="1024">
          <cell r="A1024" t="str">
            <v>108211 01</v>
          </cell>
          <cell r="B1024">
            <v>10821101</v>
          </cell>
          <cell r="C1024">
            <v>37535</v>
          </cell>
        </row>
        <row r="1025">
          <cell r="A1025" t="str">
            <v>108211 02</v>
          </cell>
          <cell r="B1025">
            <v>10821102</v>
          </cell>
          <cell r="C1025">
            <v>37535</v>
          </cell>
        </row>
        <row r="1026">
          <cell r="A1026" t="str">
            <v>108211 03</v>
          </cell>
          <cell r="B1026">
            <v>10821103</v>
          </cell>
          <cell r="C1026">
            <v>37535</v>
          </cell>
        </row>
        <row r="1027">
          <cell r="A1027" t="str">
            <v>108211 04</v>
          </cell>
          <cell r="B1027">
            <v>10821104</v>
          </cell>
          <cell r="C1027">
            <v>37535</v>
          </cell>
        </row>
        <row r="1028">
          <cell r="A1028" t="str">
            <v>108211 05</v>
          </cell>
          <cell r="B1028">
            <v>10821105</v>
          </cell>
          <cell r="C1028">
            <v>37535</v>
          </cell>
        </row>
        <row r="1029">
          <cell r="A1029" t="str">
            <v>108211 06</v>
          </cell>
          <cell r="B1029">
            <v>10821106</v>
          </cell>
          <cell r="C1029">
            <v>37535</v>
          </cell>
        </row>
        <row r="1030">
          <cell r="A1030" t="str">
            <v>108211 07</v>
          </cell>
          <cell r="B1030">
            <v>10821107</v>
          </cell>
          <cell r="C1030">
            <v>37535</v>
          </cell>
        </row>
        <row r="1031">
          <cell r="A1031" t="str">
            <v>108212 01</v>
          </cell>
          <cell r="B1031">
            <v>10821201</v>
          </cell>
          <cell r="C1031">
            <v>37535</v>
          </cell>
        </row>
        <row r="1032">
          <cell r="A1032" t="str">
            <v>108212 02</v>
          </cell>
          <cell r="B1032">
            <v>10821202</v>
          </cell>
          <cell r="C1032">
            <v>37535</v>
          </cell>
        </row>
        <row r="1033">
          <cell r="A1033" t="str">
            <v>108212 03</v>
          </cell>
          <cell r="B1033">
            <v>10821203</v>
          </cell>
          <cell r="C1033">
            <v>37535</v>
          </cell>
        </row>
        <row r="1034">
          <cell r="A1034" t="str">
            <v>108212 04</v>
          </cell>
          <cell r="B1034">
            <v>10821204</v>
          </cell>
          <cell r="C1034">
            <v>37535</v>
          </cell>
        </row>
        <row r="1035">
          <cell r="A1035" t="str">
            <v>108218 01</v>
          </cell>
          <cell r="B1035">
            <v>10821801</v>
          </cell>
          <cell r="C1035">
            <v>37535</v>
          </cell>
        </row>
        <row r="1036">
          <cell r="A1036" t="str">
            <v>108222 01</v>
          </cell>
          <cell r="B1036">
            <v>10822201</v>
          </cell>
          <cell r="C1036">
            <v>37530</v>
          </cell>
        </row>
        <row r="1037">
          <cell r="A1037" t="str">
            <v>108222 02</v>
          </cell>
          <cell r="B1037">
            <v>10822202</v>
          </cell>
          <cell r="C1037">
            <v>37530</v>
          </cell>
        </row>
        <row r="1038">
          <cell r="A1038" t="str">
            <v>108222 03</v>
          </cell>
          <cell r="B1038">
            <v>10822203</v>
          </cell>
          <cell r="C1038">
            <v>37530</v>
          </cell>
        </row>
        <row r="1039">
          <cell r="A1039" t="str">
            <v>108223 01</v>
          </cell>
          <cell r="B1039">
            <v>10822301</v>
          </cell>
          <cell r="C1039">
            <v>37530</v>
          </cell>
        </row>
        <row r="1040">
          <cell r="A1040" t="str">
            <v>108223 02</v>
          </cell>
          <cell r="B1040">
            <v>10822302</v>
          </cell>
          <cell r="C1040">
            <v>37530</v>
          </cell>
        </row>
        <row r="1041">
          <cell r="A1041" t="str">
            <v>108225 01</v>
          </cell>
          <cell r="B1041">
            <v>10822501</v>
          </cell>
          <cell r="C1041">
            <v>37535</v>
          </cell>
        </row>
        <row r="1042">
          <cell r="A1042" t="str">
            <v>108230 01</v>
          </cell>
          <cell r="B1042">
            <v>10823001</v>
          </cell>
          <cell r="C1042">
            <v>37530</v>
          </cell>
        </row>
        <row r="1043">
          <cell r="A1043" t="str">
            <v>108230 02</v>
          </cell>
          <cell r="B1043">
            <v>10823002</v>
          </cell>
          <cell r="C1043">
            <v>37530</v>
          </cell>
        </row>
        <row r="1044">
          <cell r="A1044" t="str">
            <v>108281 01</v>
          </cell>
          <cell r="B1044">
            <v>10828101</v>
          </cell>
          <cell r="C1044">
            <v>37535</v>
          </cell>
        </row>
        <row r="1045">
          <cell r="A1045" t="str">
            <v>108281 02</v>
          </cell>
          <cell r="B1045">
            <v>10828102</v>
          </cell>
          <cell r="C1045">
            <v>37535</v>
          </cell>
        </row>
        <row r="1046">
          <cell r="A1046" t="str">
            <v>108301 01</v>
          </cell>
          <cell r="B1046">
            <v>10830101</v>
          </cell>
          <cell r="C1046">
            <v>37530</v>
          </cell>
        </row>
        <row r="1047">
          <cell r="A1047" t="str">
            <v>108325 01</v>
          </cell>
          <cell r="B1047">
            <v>10832501</v>
          </cell>
          <cell r="C1047">
            <v>37530</v>
          </cell>
        </row>
        <row r="1048">
          <cell r="A1048" t="str">
            <v>108362 01</v>
          </cell>
          <cell r="B1048">
            <v>10836201</v>
          </cell>
          <cell r="C1048">
            <v>37530</v>
          </cell>
        </row>
        <row r="1049">
          <cell r="A1049" t="str">
            <v>108362 02</v>
          </cell>
          <cell r="B1049">
            <v>10836202</v>
          </cell>
          <cell r="C1049">
            <v>37530</v>
          </cell>
        </row>
        <row r="1050">
          <cell r="A1050" t="str">
            <v>108362 03</v>
          </cell>
          <cell r="B1050">
            <v>10836203</v>
          </cell>
          <cell r="C1050">
            <v>37535</v>
          </cell>
        </row>
        <row r="1051">
          <cell r="A1051" t="str">
            <v>108362 04</v>
          </cell>
          <cell r="B1051">
            <v>10836204</v>
          </cell>
          <cell r="C1051">
            <v>37535</v>
          </cell>
        </row>
        <row r="1052">
          <cell r="A1052" t="str">
            <v>108362 05</v>
          </cell>
          <cell r="B1052">
            <v>10836205</v>
          </cell>
          <cell r="C1052">
            <v>37535</v>
          </cell>
        </row>
        <row r="1053">
          <cell r="A1053" t="str">
            <v>108362 06</v>
          </cell>
          <cell r="B1053">
            <v>10836206</v>
          </cell>
          <cell r="C1053">
            <v>37535</v>
          </cell>
        </row>
        <row r="1054">
          <cell r="A1054" t="str">
            <v>108362 07</v>
          </cell>
          <cell r="B1054">
            <v>10836207</v>
          </cell>
          <cell r="C1054">
            <v>37535</v>
          </cell>
        </row>
        <row r="1055">
          <cell r="A1055" t="str">
            <v>108362 08</v>
          </cell>
          <cell r="B1055">
            <v>10836208</v>
          </cell>
          <cell r="C1055">
            <v>37530</v>
          </cell>
        </row>
        <row r="1056">
          <cell r="A1056" t="str">
            <v>108374 01</v>
          </cell>
          <cell r="B1056">
            <v>10837401</v>
          </cell>
          <cell r="C1056">
            <v>37530</v>
          </cell>
        </row>
        <row r="1057">
          <cell r="A1057" t="str">
            <v>108382 01</v>
          </cell>
          <cell r="B1057">
            <v>10838201</v>
          </cell>
          <cell r="C1057">
            <v>37535</v>
          </cell>
        </row>
        <row r="1058">
          <cell r="A1058" t="str">
            <v>108403 01</v>
          </cell>
          <cell r="B1058">
            <v>10840301</v>
          </cell>
          <cell r="C1058">
            <v>37530</v>
          </cell>
        </row>
        <row r="1059">
          <cell r="A1059" t="str">
            <v>108403 02</v>
          </cell>
          <cell r="B1059">
            <v>10840302</v>
          </cell>
          <cell r="C1059">
            <v>37530</v>
          </cell>
        </row>
        <row r="1060">
          <cell r="A1060" t="str">
            <v>108403 03</v>
          </cell>
          <cell r="B1060">
            <v>10840303</v>
          </cell>
          <cell r="C1060">
            <v>37530</v>
          </cell>
        </row>
        <row r="1061">
          <cell r="A1061" t="str">
            <v>108403 04</v>
          </cell>
          <cell r="B1061">
            <v>10840304</v>
          </cell>
          <cell r="C1061">
            <v>37530</v>
          </cell>
        </row>
        <row r="1062">
          <cell r="A1062" t="str">
            <v>108403 05</v>
          </cell>
          <cell r="B1062">
            <v>10840305</v>
          </cell>
          <cell r="C1062">
            <v>37529</v>
          </cell>
        </row>
        <row r="1063">
          <cell r="A1063" t="str">
            <v>108409 01</v>
          </cell>
          <cell r="B1063">
            <v>10840901</v>
          </cell>
          <cell r="C1063">
            <v>37530</v>
          </cell>
        </row>
        <row r="1064">
          <cell r="A1064" t="str">
            <v>108409 02</v>
          </cell>
          <cell r="B1064">
            <v>10840902</v>
          </cell>
          <cell r="C1064">
            <v>37530</v>
          </cell>
        </row>
        <row r="1065">
          <cell r="A1065" t="str">
            <v>108411 01</v>
          </cell>
          <cell r="B1065">
            <v>10841101</v>
          </cell>
          <cell r="C1065">
            <v>37535</v>
          </cell>
        </row>
        <row r="1066">
          <cell r="A1066" t="str">
            <v>108427 01</v>
          </cell>
          <cell r="B1066">
            <v>10842701</v>
          </cell>
          <cell r="C1066">
            <v>37561</v>
          </cell>
        </row>
        <row r="1067">
          <cell r="A1067" t="str">
            <v>108432 01</v>
          </cell>
          <cell r="B1067">
            <v>10843201</v>
          </cell>
          <cell r="C1067">
            <v>37530</v>
          </cell>
        </row>
        <row r="1068">
          <cell r="A1068" t="str">
            <v>108437 01</v>
          </cell>
          <cell r="B1068">
            <v>10843701</v>
          </cell>
          <cell r="C1068">
            <v>37530</v>
          </cell>
        </row>
        <row r="1069">
          <cell r="A1069" t="str">
            <v>108443 01</v>
          </cell>
          <cell r="B1069">
            <v>10844301</v>
          </cell>
          <cell r="C1069">
            <v>37535</v>
          </cell>
        </row>
        <row r="1070">
          <cell r="A1070" t="str">
            <v>108447 01</v>
          </cell>
          <cell r="B1070">
            <v>10844701</v>
          </cell>
          <cell r="C1070">
            <v>37530</v>
          </cell>
        </row>
        <row r="1071">
          <cell r="A1071" t="str">
            <v>108461 01</v>
          </cell>
          <cell r="B1071">
            <v>10846101</v>
          </cell>
          <cell r="C1071">
            <v>37530</v>
          </cell>
        </row>
        <row r="1072">
          <cell r="A1072" t="str">
            <v>108461 02</v>
          </cell>
          <cell r="B1072">
            <v>10846102</v>
          </cell>
          <cell r="C1072">
            <v>37530</v>
          </cell>
        </row>
        <row r="1073">
          <cell r="A1073" t="str">
            <v>108471 01</v>
          </cell>
          <cell r="B1073">
            <v>10847101</v>
          </cell>
          <cell r="C1073">
            <v>37530</v>
          </cell>
        </row>
        <row r="1074">
          <cell r="A1074" t="str">
            <v>108471 02</v>
          </cell>
          <cell r="B1074">
            <v>10847102</v>
          </cell>
          <cell r="C1074">
            <v>37530</v>
          </cell>
        </row>
        <row r="1075">
          <cell r="A1075" t="str">
            <v>108494 01</v>
          </cell>
          <cell r="B1075">
            <v>10849401</v>
          </cell>
          <cell r="C1075">
            <v>37530</v>
          </cell>
        </row>
        <row r="1076">
          <cell r="A1076" t="str">
            <v>108495 01</v>
          </cell>
          <cell r="B1076">
            <v>10849501</v>
          </cell>
          <cell r="C1076">
            <v>37381</v>
          </cell>
        </row>
        <row r="1077">
          <cell r="A1077" t="str">
            <v>108497 01</v>
          </cell>
          <cell r="B1077">
            <v>10849701</v>
          </cell>
          <cell r="C1077">
            <v>37535</v>
          </cell>
        </row>
        <row r="1078">
          <cell r="A1078" t="str">
            <v>108502 01</v>
          </cell>
          <cell r="B1078">
            <v>10850201</v>
          </cell>
          <cell r="C1078">
            <v>37530</v>
          </cell>
        </row>
        <row r="1079">
          <cell r="A1079" t="str">
            <v>108579 01</v>
          </cell>
          <cell r="B1079">
            <v>10857901</v>
          </cell>
          <cell r="C1079">
            <v>37530</v>
          </cell>
        </row>
        <row r="1080">
          <cell r="A1080" t="str">
            <v>108584 01</v>
          </cell>
          <cell r="B1080">
            <v>10858401</v>
          </cell>
          <cell r="C1080">
            <v>37530</v>
          </cell>
        </row>
        <row r="1081">
          <cell r="A1081" t="str">
            <v>108590 01</v>
          </cell>
          <cell r="B1081">
            <v>10859001</v>
          </cell>
          <cell r="C1081">
            <v>37530</v>
          </cell>
        </row>
        <row r="1082">
          <cell r="A1082" t="str">
            <v>108643 01</v>
          </cell>
          <cell r="B1082">
            <v>10864301</v>
          </cell>
          <cell r="C1082">
            <v>37530</v>
          </cell>
        </row>
        <row r="1083">
          <cell r="A1083" t="str">
            <v>108643 02</v>
          </cell>
          <cell r="B1083">
            <v>10864302</v>
          </cell>
          <cell r="C1083">
            <v>37535</v>
          </cell>
        </row>
        <row r="1084">
          <cell r="A1084" t="str">
            <v>108643 03</v>
          </cell>
          <cell r="B1084">
            <v>10864303</v>
          </cell>
          <cell r="C1084">
            <v>37530</v>
          </cell>
        </row>
        <row r="1085">
          <cell r="A1085" t="str">
            <v>108643 04</v>
          </cell>
          <cell r="B1085">
            <v>10864304</v>
          </cell>
          <cell r="C1085">
            <v>37535</v>
          </cell>
        </row>
        <row r="1086">
          <cell r="A1086" t="str">
            <v>108644 01</v>
          </cell>
          <cell r="B1086">
            <v>10864401</v>
          </cell>
          <cell r="C1086">
            <v>37530</v>
          </cell>
        </row>
        <row r="1087">
          <cell r="A1087" t="str">
            <v>108670 01</v>
          </cell>
          <cell r="B1087">
            <v>10867001</v>
          </cell>
          <cell r="C1087">
            <v>37530</v>
          </cell>
        </row>
        <row r="1088">
          <cell r="A1088" t="str">
            <v>108676 01</v>
          </cell>
          <cell r="B1088">
            <v>10867601</v>
          </cell>
          <cell r="C1088">
            <v>37535</v>
          </cell>
        </row>
        <row r="1089">
          <cell r="A1089" t="str">
            <v>108676 02</v>
          </cell>
          <cell r="B1089">
            <v>10867602</v>
          </cell>
          <cell r="C1089">
            <v>37535</v>
          </cell>
        </row>
        <row r="1090">
          <cell r="A1090" t="str">
            <v>108676 03</v>
          </cell>
          <cell r="B1090">
            <v>10867603</v>
          </cell>
          <cell r="C1090">
            <v>37530</v>
          </cell>
        </row>
        <row r="1091">
          <cell r="A1091" t="str">
            <v>108676 04</v>
          </cell>
          <cell r="B1091">
            <v>10867604</v>
          </cell>
          <cell r="C1091">
            <v>37535</v>
          </cell>
        </row>
        <row r="1092">
          <cell r="A1092" t="str">
            <v>108676 05</v>
          </cell>
          <cell r="B1092">
            <v>10867605</v>
          </cell>
          <cell r="C1092">
            <v>37535</v>
          </cell>
        </row>
        <row r="1093">
          <cell r="A1093" t="str">
            <v>108676 06</v>
          </cell>
          <cell r="B1093">
            <v>10867606</v>
          </cell>
          <cell r="C1093">
            <v>37535</v>
          </cell>
        </row>
        <row r="1094">
          <cell r="A1094" t="str">
            <v>108677 01</v>
          </cell>
          <cell r="B1094">
            <v>10867701</v>
          </cell>
          <cell r="C1094">
            <v>37535</v>
          </cell>
        </row>
        <row r="1095">
          <cell r="A1095" t="str">
            <v>108677 02</v>
          </cell>
          <cell r="B1095">
            <v>10867702</v>
          </cell>
          <cell r="C1095">
            <v>37530</v>
          </cell>
        </row>
        <row r="1096">
          <cell r="A1096" t="str">
            <v>108677 03</v>
          </cell>
          <cell r="B1096">
            <v>10867703</v>
          </cell>
          <cell r="C1096">
            <v>37530</v>
          </cell>
        </row>
        <row r="1097">
          <cell r="A1097" t="str">
            <v>108677 04</v>
          </cell>
          <cell r="B1097">
            <v>10867704</v>
          </cell>
          <cell r="C1097">
            <v>37530</v>
          </cell>
        </row>
        <row r="1098">
          <cell r="A1098" t="str">
            <v>108677 05</v>
          </cell>
          <cell r="B1098">
            <v>10867705</v>
          </cell>
          <cell r="C1098">
            <v>37535</v>
          </cell>
        </row>
        <row r="1099">
          <cell r="A1099" t="str">
            <v>108677 06</v>
          </cell>
          <cell r="B1099">
            <v>10867706</v>
          </cell>
          <cell r="C1099">
            <v>37530</v>
          </cell>
        </row>
        <row r="1100">
          <cell r="A1100" t="str">
            <v>108684 01</v>
          </cell>
          <cell r="B1100">
            <v>10868401</v>
          </cell>
          <cell r="C1100">
            <v>37530</v>
          </cell>
        </row>
        <row r="1101">
          <cell r="A1101" t="str">
            <v>108688 01</v>
          </cell>
          <cell r="B1101">
            <v>10868801</v>
          </cell>
          <cell r="C1101">
            <v>37530</v>
          </cell>
        </row>
        <row r="1102">
          <cell r="A1102" t="str">
            <v>108694 01</v>
          </cell>
          <cell r="B1102">
            <v>10869401</v>
          </cell>
          <cell r="C1102">
            <v>37530</v>
          </cell>
        </row>
        <row r="1103">
          <cell r="A1103" t="str">
            <v>108694 02</v>
          </cell>
          <cell r="B1103">
            <v>10869402</v>
          </cell>
          <cell r="C1103">
            <v>37530</v>
          </cell>
        </row>
        <row r="1104">
          <cell r="A1104" t="str">
            <v>108694 03</v>
          </cell>
          <cell r="B1104">
            <v>10869403</v>
          </cell>
          <cell r="C1104">
            <v>37530</v>
          </cell>
        </row>
        <row r="1105">
          <cell r="A1105" t="str">
            <v>108695 01</v>
          </cell>
          <cell r="B1105">
            <v>10869501</v>
          </cell>
          <cell r="C1105">
            <v>37530</v>
          </cell>
        </row>
        <row r="1106">
          <cell r="A1106" t="str">
            <v>108695 02</v>
          </cell>
          <cell r="B1106">
            <v>10869502</v>
          </cell>
          <cell r="C1106">
            <v>37530</v>
          </cell>
        </row>
        <row r="1107">
          <cell r="A1107" t="str">
            <v>108695 03</v>
          </cell>
          <cell r="B1107">
            <v>10869503</v>
          </cell>
          <cell r="C1107">
            <v>37530</v>
          </cell>
        </row>
        <row r="1108">
          <cell r="A1108" t="str">
            <v>108695 04</v>
          </cell>
          <cell r="B1108">
            <v>10869504</v>
          </cell>
          <cell r="C1108">
            <v>37530</v>
          </cell>
        </row>
        <row r="1109">
          <cell r="A1109" t="str">
            <v>108705 01</v>
          </cell>
          <cell r="B1109">
            <v>10870501</v>
          </cell>
          <cell r="C1109">
            <v>37530</v>
          </cell>
        </row>
        <row r="1110">
          <cell r="A1110" t="str">
            <v>108709 01</v>
          </cell>
          <cell r="B1110">
            <v>10870901</v>
          </cell>
          <cell r="C1110">
            <v>37530</v>
          </cell>
        </row>
        <row r="1111">
          <cell r="A1111" t="str">
            <v>108711 01</v>
          </cell>
          <cell r="B1111">
            <v>10871101</v>
          </cell>
          <cell r="C1111">
            <v>37535</v>
          </cell>
        </row>
        <row r="1112">
          <cell r="A1112" t="str">
            <v>108719 01</v>
          </cell>
          <cell r="B1112">
            <v>10871901</v>
          </cell>
          <cell r="C1112">
            <v>37530</v>
          </cell>
        </row>
        <row r="1113">
          <cell r="A1113" t="str">
            <v>108720 01</v>
          </cell>
          <cell r="B1113">
            <v>10872001</v>
          </cell>
          <cell r="C1113">
            <v>37530</v>
          </cell>
        </row>
        <row r="1114">
          <cell r="A1114" t="str">
            <v>108733 01</v>
          </cell>
          <cell r="B1114">
            <v>10873301</v>
          </cell>
          <cell r="C1114">
            <v>37530</v>
          </cell>
        </row>
        <row r="1115">
          <cell r="A1115" t="str">
            <v>108761 01</v>
          </cell>
          <cell r="B1115">
            <v>10876101</v>
          </cell>
          <cell r="C1115">
            <v>37530</v>
          </cell>
        </row>
        <row r="1116">
          <cell r="A1116" t="str">
            <v>108780 01</v>
          </cell>
          <cell r="B1116">
            <v>10878001</v>
          </cell>
          <cell r="C1116">
            <v>37530</v>
          </cell>
        </row>
        <row r="1117">
          <cell r="A1117" t="str">
            <v>108789 01</v>
          </cell>
          <cell r="B1117">
            <v>10878901</v>
          </cell>
          <cell r="C1117">
            <v>37530</v>
          </cell>
        </row>
        <row r="1118">
          <cell r="A1118" t="str">
            <v>108805 01</v>
          </cell>
          <cell r="B1118">
            <v>10880501</v>
          </cell>
          <cell r="C1118">
            <v>37530</v>
          </cell>
        </row>
        <row r="1119">
          <cell r="A1119" t="str">
            <v>108806 01</v>
          </cell>
          <cell r="B1119">
            <v>10880601</v>
          </cell>
          <cell r="C1119">
            <v>37530</v>
          </cell>
        </row>
        <row r="1120">
          <cell r="A1120" t="str">
            <v>108807 01</v>
          </cell>
          <cell r="B1120">
            <v>10880701</v>
          </cell>
          <cell r="C1120">
            <v>37530</v>
          </cell>
        </row>
        <row r="1121">
          <cell r="A1121" t="str">
            <v>108812 01</v>
          </cell>
          <cell r="B1121">
            <v>10881201</v>
          </cell>
          <cell r="C1121">
            <v>37530</v>
          </cell>
        </row>
        <row r="1122">
          <cell r="A1122" t="str">
            <v>108822 01</v>
          </cell>
          <cell r="B1122">
            <v>10882201</v>
          </cell>
          <cell r="C1122">
            <v>37530</v>
          </cell>
        </row>
        <row r="1123">
          <cell r="A1123" t="str">
            <v>108823 01</v>
          </cell>
          <cell r="B1123">
            <v>10882301</v>
          </cell>
          <cell r="C1123">
            <v>37530</v>
          </cell>
        </row>
        <row r="1124">
          <cell r="A1124" t="str">
            <v>108835 01</v>
          </cell>
          <cell r="B1124">
            <v>10883501</v>
          </cell>
          <cell r="C1124">
            <v>37535</v>
          </cell>
        </row>
        <row r="1125">
          <cell r="A1125" t="str">
            <v>108836 01</v>
          </cell>
          <cell r="B1125">
            <v>10883601</v>
          </cell>
          <cell r="C1125">
            <v>37535</v>
          </cell>
        </row>
        <row r="1126">
          <cell r="A1126" t="str">
            <v>108837 01</v>
          </cell>
          <cell r="B1126">
            <v>10883701</v>
          </cell>
          <cell r="C1126">
            <v>37535</v>
          </cell>
        </row>
        <row r="1127">
          <cell r="A1127" t="str">
            <v>108844 01</v>
          </cell>
          <cell r="B1127">
            <v>10884401</v>
          </cell>
          <cell r="C1127">
            <v>37530</v>
          </cell>
        </row>
        <row r="1128">
          <cell r="A1128" t="str">
            <v>108846 01</v>
          </cell>
          <cell r="B1128">
            <v>10884601</v>
          </cell>
          <cell r="C1128">
            <v>37530</v>
          </cell>
        </row>
        <row r="1129">
          <cell r="A1129" t="str">
            <v>108849 01</v>
          </cell>
          <cell r="B1129">
            <v>10884901</v>
          </cell>
          <cell r="C1129">
            <v>37530</v>
          </cell>
        </row>
        <row r="1130">
          <cell r="A1130" t="str">
            <v>108851 01</v>
          </cell>
          <cell r="B1130">
            <v>10885101</v>
          </cell>
          <cell r="C1130">
            <v>37530</v>
          </cell>
        </row>
        <row r="1131">
          <cell r="A1131" t="str">
            <v>108851 02</v>
          </cell>
          <cell r="B1131">
            <v>10885102</v>
          </cell>
          <cell r="C1131">
            <v>37530</v>
          </cell>
        </row>
        <row r="1132">
          <cell r="A1132" t="str">
            <v>108851 03</v>
          </cell>
          <cell r="B1132">
            <v>10885103</v>
          </cell>
          <cell r="C1132">
            <v>37530</v>
          </cell>
        </row>
        <row r="1133">
          <cell r="A1133" t="str">
            <v>108851 04</v>
          </cell>
          <cell r="B1133">
            <v>10885104</v>
          </cell>
          <cell r="C1133">
            <v>37530</v>
          </cell>
        </row>
        <row r="1134">
          <cell r="A1134" t="str">
            <v>108851 05</v>
          </cell>
          <cell r="B1134">
            <v>10885105</v>
          </cell>
          <cell r="C1134">
            <v>37530</v>
          </cell>
        </row>
        <row r="1135">
          <cell r="A1135" t="str">
            <v>108853 01</v>
          </cell>
          <cell r="B1135">
            <v>10885301</v>
          </cell>
          <cell r="C1135">
            <v>37530</v>
          </cell>
        </row>
        <row r="1136">
          <cell r="A1136" t="str">
            <v>108858 01</v>
          </cell>
          <cell r="B1136">
            <v>10885801</v>
          </cell>
          <cell r="C1136">
            <v>37561</v>
          </cell>
        </row>
        <row r="1137">
          <cell r="A1137" t="str">
            <v>108859 01</v>
          </cell>
          <cell r="B1137">
            <v>10885901</v>
          </cell>
          <cell r="C1137">
            <v>37500</v>
          </cell>
        </row>
        <row r="1138">
          <cell r="A1138" t="str">
            <v>108864 01</v>
          </cell>
          <cell r="B1138">
            <v>10886401</v>
          </cell>
          <cell r="C1138">
            <v>37530</v>
          </cell>
        </row>
        <row r="1139">
          <cell r="A1139" t="str">
            <v>108899 01</v>
          </cell>
          <cell r="B1139">
            <v>10889901</v>
          </cell>
          <cell r="C1139">
            <v>37530</v>
          </cell>
        </row>
        <row r="1140">
          <cell r="A1140" t="str">
            <v>108912 01</v>
          </cell>
          <cell r="B1140">
            <v>10891201</v>
          </cell>
          <cell r="C1140">
            <v>37530</v>
          </cell>
        </row>
        <row r="1141">
          <cell r="A1141" t="str">
            <v>108912 02</v>
          </cell>
          <cell r="B1141">
            <v>10891202</v>
          </cell>
          <cell r="C1141">
            <v>37530</v>
          </cell>
        </row>
        <row r="1142">
          <cell r="A1142" t="str">
            <v>108912 03</v>
          </cell>
          <cell r="B1142">
            <v>10891203</v>
          </cell>
          <cell r="C1142">
            <v>37530</v>
          </cell>
        </row>
        <row r="1143">
          <cell r="A1143" t="str">
            <v>108912 04</v>
          </cell>
          <cell r="B1143">
            <v>10891204</v>
          </cell>
          <cell r="C1143">
            <v>37530</v>
          </cell>
        </row>
        <row r="1144">
          <cell r="A1144" t="str">
            <v>108912 05</v>
          </cell>
          <cell r="B1144">
            <v>10891205</v>
          </cell>
          <cell r="C1144">
            <v>37530</v>
          </cell>
        </row>
        <row r="1145">
          <cell r="A1145" t="str">
            <v>108912 06</v>
          </cell>
          <cell r="B1145">
            <v>10891206</v>
          </cell>
          <cell r="C1145">
            <v>37530</v>
          </cell>
        </row>
        <row r="1146">
          <cell r="A1146" t="str">
            <v>108912 07</v>
          </cell>
          <cell r="B1146">
            <v>10891207</v>
          </cell>
          <cell r="C1146">
            <v>37530</v>
          </cell>
        </row>
        <row r="1147">
          <cell r="A1147" t="str">
            <v>108912 08</v>
          </cell>
          <cell r="B1147">
            <v>10891208</v>
          </cell>
          <cell r="C1147">
            <v>37530</v>
          </cell>
        </row>
        <row r="1148">
          <cell r="A1148" t="str">
            <v>108928 01</v>
          </cell>
          <cell r="B1148">
            <v>10892801</v>
          </cell>
          <cell r="C1148">
            <v>37530</v>
          </cell>
        </row>
        <row r="1149">
          <cell r="A1149" t="str">
            <v>108935 01</v>
          </cell>
          <cell r="B1149">
            <v>10893501</v>
          </cell>
          <cell r="C1149">
            <v>37530</v>
          </cell>
        </row>
        <row r="1150">
          <cell r="A1150" t="str">
            <v>108935 02</v>
          </cell>
          <cell r="B1150">
            <v>10893502</v>
          </cell>
          <cell r="C1150">
            <v>37530</v>
          </cell>
        </row>
        <row r="1151">
          <cell r="A1151" t="str">
            <v>108935 03</v>
          </cell>
          <cell r="B1151">
            <v>10893503</v>
          </cell>
          <cell r="C1151">
            <v>37530</v>
          </cell>
        </row>
        <row r="1152">
          <cell r="A1152" t="str">
            <v>108940 01</v>
          </cell>
          <cell r="B1152">
            <v>10894001</v>
          </cell>
          <cell r="C1152">
            <v>37530</v>
          </cell>
        </row>
        <row r="1153">
          <cell r="A1153" t="str">
            <v>108944 01</v>
          </cell>
          <cell r="B1153">
            <v>10894401</v>
          </cell>
          <cell r="C1153">
            <v>37575</v>
          </cell>
        </row>
        <row r="1154">
          <cell r="A1154" t="str">
            <v>108945 01</v>
          </cell>
          <cell r="B1154">
            <v>10894501</v>
          </cell>
          <cell r="C1154">
            <v>37575</v>
          </cell>
        </row>
        <row r="1155">
          <cell r="A1155" t="str">
            <v>108985 01</v>
          </cell>
          <cell r="B1155">
            <v>10898501</v>
          </cell>
          <cell r="C1155">
            <v>37575</v>
          </cell>
        </row>
        <row r="1156">
          <cell r="A1156" t="str">
            <v>108986 01</v>
          </cell>
          <cell r="B1156">
            <v>10898601</v>
          </cell>
          <cell r="C1156">
            <v>37575</v>
          </cell>
        </row>
        <row r="1157">
          <cell r="A1157" t="str">
            <v>108997 01</v>
          </cell>
          <cell r="B1157">
            <v>10899701</v>
          </cell>
          <cell r="C1157">
            <v>37575</v>
          </cell>
        </row>
        <row r="1158">
          <cell r="A1158" t="str">
            <v>108998 01</v>
          </cell>
          <cell r="B1158">
            <v>10899801</v>
          </cell>
          <cell r="C1158">
            <v>37575</v>
          </cell>
        </row>
        <row r="1159">
          <cell r="A1159" t="str">
            <v>108999 01</v>
          </cell>
          <cell r="B1159">
            <v>10899901</v>
          </cell>
          <cell r="C1159">
            <v>37575</v>
          </cell>
        </row>
        <row r="1160">
          <cell r="A1160" t="str">
            <v>109013 01</v>
          </cell>
          <cell r="B1160">
            <v>10901301</v>
          </cell>
          <cell r="C1160">
            <v>37579</v>
          </cell>
        </row>
        <row r="1161">
          <cell r="A1161" t="str">
            <v>210195 01</v>
          </cell>
          <cell r="B1161">
            <v>21019501</v>
          </cell>
          <cell r="C1161">
            <v>37535</v>
          </cell>
        </row>
        <row r="1162">
          <cell r="A1162" t="str">
            <v>210197 01</v>
          </cell>
          <cell r="B1162">
            <v>21019701</v>
          </cell>
          <cell r="C1162">
            <v>37535</v>
          </cell>
        </row>
        <row r="1163">
          <cell r="A1163" t="str">
            <v>210198 01</v>
          </cell>
          <cell r="B1163">
            <v>21019801</v>
          </cell>
          <cell r="C1163">
            <v>37535</v>
          </cell>
        </row>
        <row r="1164">
          <cell r="A1164" t="str">
            <v>215610 01</v>
          </cell>
          <cell r="B1164">
            <v>21561001</v>
          </cell>
          <cell r="C1164">
            <v>37535</v>
          </cell>
        </row>
        <row r="1165">
          <cell r="A1165" t="str">
            <v>215610 02</v>
          </cell>
          <cell r="B1165">
            <v>21561002</v>
          </cell>
          <cell r="C1165">
            <v>37535</v>
          </cell>
        </row>
        <row r="1166">
          <cell r="A1166" t="str">
            <v>215610 03</v>
          </cell>
          <cell r="B1166">
            <v>21561003</v>
          </cell>
          <cell r="C1166">
            <v>37535</v>
          </cell>
        </row>
        <row r="1167">
          <cell r="A1167" t="str">
            <v>215610 04</v>
          </cell>
          <cell r="B1167">
            <v>21561004</v>
          </cell>
          <cell r="C1167">
            <v>37535</v>
          </cell>
        </row>
        <row r="1168">
          <cell r="A1168" t="str">
            <v>215730 01</v>
          </cell>
          <cell r="B1168">
            <v>21573001</v>
          </cell>
          <cell r="C1168">
            <v>37535</v>
          </cell>
        </row>
        <row r="1169">
          <cell r="A1169" t="str">
            <v>215730 02</v>
          </cell>
          <cell r="B1169">
            <v>21573002</v>
          </cell>
          <cell r="C1169">
            <v>37535</v>
          </cell>
        </row>
        <row r="1170">
          <cell r="A1170" t="str">
            <v>215730 05</v>
          </cell>
          <cell r="B1170">
            <v>21573005</v>
          </cell>
          <cell r="C1170">
            <v>37535</v>
          </cell>
        </row>
        <row r="1171">
          <cell r="A1171" t="str">
            <v>215741 01</v>
          </cell>
          <cell r="B1171">
            <v>21574101</v>
          </cell>
          <cell r="C1171">
            <v>37535</v>
          </cell>
        </row>
        <row r="1172">
          <cell r="A1172" t="str">
            <v>216004 04</v>
          </cell>
          <cell r="B1172">
            <v>21600404</v>
          </cell>
          <cell r="C1172">
            <v>37535</v>
          </cell>
        </row>
        <row r="1173">
          <cell r="A1173" t="str">
            <v>217715 01</v>
          </cell>
          <cell r="B1173">
            <v>21771501</v>
          </cell>
          <cell r="C1173">
            <v>37535</v>
          </cell>
        </row>
        <row r="1174">
          <cell r="A1174" t="str">
            <v>217726 01</v>
          </cell>
          <cell r="B1174">
            <v>21772601</v>
          </cell>
          <cell r="C1174">
            <v>37535</v>
          </cell>
        </row>
        <row r="1175">
          <cell r="A1175" t="str">
            <v>217726 02</v>
          </cell>
          <cell r="B1175">
            <v>21772602</v>
          </cell>
          <cell r="C1175">
            <v>37535</v>
          </cell>
        </row>
        <row r="1176">
          <cell r="A1176" t="str">
            <v>217726 03</v>
          </cell>
          <cell r="B1176">
            <v>21772603</v>
          </cell>
          <cell r="C1176">
            <v>37535</v>
          </cell>
        </row>
        <row r="1177">
          <cell r="A1177" t="str">
            <v>217726 04</v>
          </cell>
          <cell r="B1177">
            <v>21772604</v>
          </cell>
          <cell r="C1177">
            <v>37535</v>
          </cell>
        </row>
        <row r="1178">
          <cell r="A1178" t="str">
            <v>217726 05</v>
          </cell>
          <cell r="B1178">
            <v>21772605</v>
          </cell>
          <cell r="C1178">
            <v>37535</v>
          </cell>
        </row>
        <row r="1179">
          <cell r="A1179" t="str">
            <v>217728 01</v>
          </cell>
          <cell r="B1179">
            <v>21772801</v>
          </cell>
          <cell r="C1179">
            <v>37535</v>
          </cell>
        </row>
        <row r="1180">
          <cell r="A1180" t="str">
            <v>217728 02</v>
          </cell>
          <cell r="B1180">
            <v>21772802</v>
          </cell>
          <cell r="C1180">
            <v>37535</v>
          </cell>
        </row>
        <row r="1181">
          <cell r="A1181" t="str">
            <v>217730 01</v>
          </cell>
          <cell r="B1181">
            <v>21773001</v>
          </cell>
          <cell r="C1181">
            <v>37535</v>
          </cell>
        </row>
        <row r="1182">
          <cell r="A1182" t="str">
            <v>217731 01</v>
          </cell>
          <cell r="B1182">
            <v>21773101</v>
          </cell>
          <cell r="C1182">
            <v>37535</v>
          </cell>
        </row>
        <row r="1183">
          <cell r="A1183" t="str">
            <v>217731 02</v>
          </cell>
          <cell r="B1183">
            <v>21773102</v>
          </cell>
          <cell r="C1183">
            <v>37535</v>
          </cell>
        </row>
        <row r="1184">
          <cell r="A1184" t="str">
            <v>217732 01</v>
          </cell>
          <cell r="B1184">
            <v>21773201</v>
          </cell>
          <cell r="C1184">
            <v>37535</v>
          </cell>
        </row>
        <row r="1185">
          <cell r="A1185" t="str">
            <v>217734 01</v>
          </cell>
          <cell r="B1185">
            <v>21773401</v>
          </cell>
          <cell r="C1185">
            <v>37535</v>
          </cell>
        </row>
        <row r="1186">
          <cell r="A1186" t="str">
            <v>217744 01</v>
          </cell>
          <cell r="B1186">
            <v>21774401</v>
          </cell>
          <cell r="C1186">
            <v>37535</v>
          </cell>
        </row>
        <row r="1187">
          <cell r="A1187" t="str">
            <v>217744 02</v>
          </cell>
          <cell r="B1187">
            <v>21774402</v>
          </cell>
          <cell r="C1187">
            <v>37535</v>
          </cell>
        </row>
        <row r="1188">
          <cell r="A1188" t="str">
            <v>217744 03</v>
          </cell>
          <cell r="B1188">
            <v>21774403</v>
          </cell>
          <cell r="C1188">
            <v>37535</v>
          </cell>
        </row>
        <row r="1189">
          <cell r="A1189" t="str">
            <v>217744 04</v>
          </cell>
          <cell r="B1189">
            <v>21774404</v>
          </cell>
          <cell r="C1189">
            <v>37535</v>
          </cell>
        </row>
        <row r="1190">
          <cell r="A1190" t="str">
            <v>217746 03</v>
          </cell>
          <cell r="B1190">
            <v>21774603</v>
          </cell>
          <cell r="C1190">
            <v>37535</v>
          </cell>
        </row>
        <row r="1191">
          <cell r="A1191" t="str">
            <v>217748 01</v>
          </cell>
          <cell r="B1191">
            <v>21774801</v>
          </cell>
          <cell r="C1191">
            <v>37535</v>
          </cell>
        </row>
        <row r="1192">
          <cell r="A1192" t="str">
            <v>217758 01</v>
          </cell>
          <cell r="B1192">
            <v>21775801</v>
          </cell>
          <cell r="C1192">
            <v>37535</v>
          </cell>
        </row>
        <row r="1193">
          <cell r="A1193" t="str">
            <v>217759 01</v>
          </cell>
          <cell r="B1193">
            <v>21775901</v>
          </cell>
          <cell r="C1193">
            <v>37535</v>
          </cell>
        </row>
        <row r="1194">
          <cell r="A1194" t="str">
            <v>217767 01</v>
          </cell>
          <cell r="B1194">
            <v>21776701</v>
          </cell>
          <cell r="C1194">
            <v>37535</v>
          </cell>
        </row>
        <row r="1195">
          <cell r="A1195" t="str">
            <v>217769 01</v>
          </cell>
          <cell r="B1195">
            <v>21776901</v>
          </cell>
          <cell r="C1195">
            <v>37535</v>
          </cell>
        </row>
        <row r="1196">
          <cell r="A1196" t="str">
            <v>218003 01</v>
          </cell>
          <cell r="B1196">
            <v>21800301</v>
          </cell>
          <cell r="C1196">
            <v>37535</v>
          </cell>
        </row>
        <row r="1197">
          <cell r="A1197" t="str">
            <v>219609 01</v>
          </cell>
          <cell r="B1197">
            <v>21960901</v>
          </cell>
          <cell r="C1197">
            <v>37535</v>
          </cell>
        </row>
        <row r="1198">
          <cell r="A1198" t="str">
            <v>219760 01</v>
          </cell>
          <cell r="B1198">
            <v>21976001</v>
          </cell>
          <cell r="C1198">
            <v>37535</v>
          </cell>
        </row>
        <row r="1199">
          <cell r="A1199" t="str">
            <v>219760 02</v>
          </cell>
          <cell r="B1199">
            <v>21976002</v>
          </cell>
          <cell r="C1199">
            <v>37535</v>
          </cell>
        </row>
        <row r="1200">
          <cell r="A1200" t="str">
            <v>219760 03</v>
          </cell>
          <cell r="B1200">
            <v>21976003</v>
          </cell>
          <cell r="C1200">
            <v>37535</v>
          </cell>
        </row>
        <row r="1201">
          <cell r="A1201" t="str">
            <v>219760 04</v>
          </cell>
          <cell r="B1201">
            <v>21976004</v>
          </cell>
          <cell r="C1201">
            <v>37535</v>
          </cell>
        </row>
        <row r="1202">
          <cell r="A1202" t="str">
            <v>219764 01</v>
          </cell>
          <cell r="B1202">
            <v>21976401</v>
          </cell>
          <cell r="C1202">
            <v>37535</v>
          </cell>
        </row>
        <row r="1203">
          <cell r="A1203" t="str">
            <v>219764 02</v>
          </cell>
          <cell r="B1203">
            <v>21976402</v>
          </cell>
          <cell r="C1203">
            <v>37535</v>
          </cell>
        </row>
        <row r="1204">
          <cell r="A1204" t="str">
            <v>219764 04</v>
          </cell>
          <cell r="B1204">
            <v>21976404</v>
          </cell>
          <cell r="C1204">
            <v>37535</v>
          </cell>
        </row>
        <row r="1205">
          <cell r="A1205" t="str">
            <v>240111 01</v>
          </cell>
          <cell r="B1205">
            <v>24011101</v>
          </cell>
          <cell r="C1205">
            <v>37535</v>
          </cell>
        </row>
        <row r="1206">
          <cell r="A1206" t="str">
            <v>240311 01</v>
          </cell>
          <cell r="B1206">
            <v>24031101</v>
          </cell>
          <cell r="C1206">
            <v>37535</v>
          </cell>
        </row>
        <row r="1207">
          <cell r="A1207" t="str">
            <v>244001 02</v>
          </cell>
          <cell r="B1207">
            <v>24400102</v>
          </cell>
          <cell r="C1207">
            <v>37535</v>
          </cell>
        </row>
        <row r="1208">
          <cell r="A1208" t="str">
            <v>244002 04</v>
          </cell>
          <cell r="B1208">
            <v>24400204</v>
          </cell>
          <cell r="C1208">
            <v>37535</v>
          </cell>
        </row>
        <row r="1209">
          <cell r="A1209" t="str">
            <v>244002 05</v>
          </cell>
          <cell r="B1209">
            <v>24400205</v>
          </cell>
          <cell r="C1209">
            <v>37535</v>
          </cell>
        </row>
        <row r="1210">
          <cell r="A1210" t="str">
            <v>244003 02</v>
          </cell>
          <cell r="B1210">
            <v>24400302</v>
          </cell>
          <cell r="C1210">
            <v>37535</v>
          </cell>
        </row>
        <row r="1211">
          <cell r="A1211" t="str">
            <v>244005 01</v>
          </cell>
          <cell r="B1211">
            <v>24400501</v>
          </cell>
          <cell r="C1211">
            <v>37535</v>
          </cell>
        </row>
        <row r="1212">
          <cell r="A1212" t="str">
            <v>244005 02</v>
          </cell>
          <cell r="B1212">
            <v>24400502</v>
          </cell>
          <cell r="C1212">
            <v>37535</v>
          </cell>
        </row>
        <row r="1213">
          <cell r="A1213" t="str">
            <v>244005 03</v>
          </cell>
          <cell r="B1213">
            <v>24400503</v>
          </cell>
          <cell r="C1213">
            <v>37535</v>
          </cell>
        </row>
        <row r="1214">
          <cell r="A1214" t="str">
            <v>244005 04</v>
          </cell>
          <cell r="B1214">
            <v>24400504</v>
          </cell>
          <cell r="C1214">
            <v>37535</v>
          </cell>
        </row>
        <row r="1215">
          <cell r="A1215" t="str">
            <v>244005 05</v>
          </cell>
          <cell r="B1215">
            <v>24400505</v>
          </cell>
          <cell r="C1215">
            <v>37535</v>
          </cell>
        </row>
        <row r="1216">
          <cell r="A1216" t="str">
            <v>244005 06</v>
          </cell>
          <cell r="B1216">
            <v>24400506</v>
          </cell>
          <cell r="C1216">
            <v>37535</v>
          </cell>
        </row>
        <row r="1217">
          <cell r="A1217" t="str">
            <v>244005 07</v>
          </cell>
          <cell r="B1217">
            <v>24400507</v>
          </cell>
          <cell r="C1217">
            <v>37535</v>
          </cell>
        </row>
        <row r="1218">
          <cell r="A1218" t="str">
            <v>251232 01</v>
          </cell>
          <cell r="B1218">
            <v>25123201</v>
          </cell>
          <cell r="C1218">
            <v>37535</v>
          </cell>
        </row>
        <row r="1219">
          <cell r="A1219" t="str">
            <v>251232 02</v>
          </cell>
          <cell r="B1219">
            <v>25123202</v>
          </cell>
          <cell r="C1219">
            <v>37535</v>
          </cell>
        </row>
        <row r="1220">
          <cell r="A1220" t="str">
            <v>251232 03</v>
          </cell>
          <cell r="B1220">
            <v>25123203</v>
          </cell>
          <cell r="C1220">
            <v>37535</v>
          </cell>
        </row>
        <row r="1221">
          <cell r="A1221" t="str">
            <v>251232 04</v>
          </cell>
          <cell r="B1221">
            <v>25123204</v>
          </cell>
          <cell r="C1221">
            <v>37535</v>
          </cell>
        </row>
        <row r="1222">
          <cell r="A1222" t="str">
            <v>251232 05</v>
          </cell>
          <cell r="B1222">
            <v>25123205</v>
          </cell>
          <cell r="C1222">
            <v>37535</v>
          </cell>
        </row>
        <row r="1223">
          <cell r="A1223" t="str">
            <v>251232 06</v>
          </cell>
          <cell r="B1223">
            <v>25123206</v>
          </cell>
          <cell r="C1223">
            <v>37535</v>
          </cell>
        </row>
        <row r="1224">
          <cell r="A1224" t="str">
            <v>251232 07</v>
          </cell>
          <cell r="B1224">
            <v>25123207</v>
          </cell>
          <cell r="C1224">
            <v>37535</v>
          </cell>
        </row>
        <row r="1225">
          <cell r="A1225" t="str">
            <v>260051 01</v>
          </cell>
          <cell r="B1225">
            <v>26005101</v>
          </cell>
          <cell r="C1225">
            <v>37535</v>
          </cell>
        </row>
        <row r="1226">
          <cell r="A1226" t="str">
            <v>260091 01</v>
          </cell>
          <cell r="B1226">
            <v>26009101</v>
          </cell>
          <cell r="C1226">
            <v>36161</v>
          </cell>
        </row>
        <row r="1227">
          <cell r="A1227" t="str">
            <v>260451 01</v>
          </cell>
          <cell r="B1227">
            <v>26045101</v>
          </cell>
          <cell r="C1227">
            <v>37535</v>
          </cell>
        </row>
        <row r="1228">
          <cell r="A1228" t="str">
            <v>260451 02</v>
          </cell>
          <cell r="B1228">
            <v>26045102</v>
          </cell>
          <cell r="C1228">
            <v>37535</v>
          </cell>
        </row>
        <row r="1229">
          <cell r="A1229" t="str">
            <v>260451 03</v>
          </cell>
          <cell r="B1229">
            <v>26045103</v>
          </cell>
          <cell r="C1229">
            <v>37535</v>
          </cell>
        </row>
        <row r="1230">
          <cell r="A1230" t="str">
            <v>260451 04</v>
          </cell>
          <cell r="B1230">
            <v>26045104</v>
          </cell>
          <cell r="C1230">
            <v>37535</v>
          </cell>
        </row>
        <row r="1231">
          <cell r="A1231" t="str">
            <v>260451 05</v>
          </cell>
          <cell r="B1231">
            <v>26045105</v>
          </cell>
          <cell r="C1231">
            <v>37535</v>
          </cell>
        </row>
        <row r="1232">
          <cell r="A1232" t="str">
            <v>260462 01</v>
          </cell>
          <cell r="B1232">
            <v>26046201</v>
          </cell>
          <cell r="C1232">
            <v>37535</v>
          </cell>
        </row>
        <row r="1233">
          <cell r="A1233" t="str">
            <v>260462 02</v>
          </cell>
          <cell r="B1233">
            <v>26046202</v>
          </cell>
          <cell r="C1233">
            <v>37535</v>
          </cell>
        </row>
        <row r="1234">
          <cell r="A1234" t="str">
            <v>260462 03</v>
          </cell>
          <cell r="B1234">
            <v>26046203</v>
          </cell>
          <cell r="C1234">
            <v>37535</v>
          </cell>
        </row>
        <row r="1235">
          <cell r="A1235" t="str">
            <v>260462 04</v>
          </cell>
          <cell r="B1235">
            <v>26046204</v>
          </cell>
          <cell r="C1235">
            <v>37535</v>
          </cell>
        </row>
        <row r="1236">
          <cell r="A1236" t="str">
            <v>260462 05</v>
          </cell>
          <cell r="B1236">
            <v>26046205</v>
          </cell>
          <cell r="C1236">
            <v>37535</v>
          </cell>
        </row>
        <row r="1237">
          <cell r="A1237" t="str">
            <v>260462 06</v>
          </cell>
          <cell r="B1237">
            <v>26046206</v>
          </cell>
          <cell r="C1237">
            <v>37535</v>
          </cell>
        </row>
        <row r="1238">
          <cell r="A1238" t="str">
            <v>260462 07</v>
          </cell>
          <cell r="B1238">
            <v>26046207</v>
          </cell>
          <cell r="C1238">
            <v>37535</v>
          </cell>
        </row>
        <row r="1239">
          <cell r="A1239" t="str">
            <v>260462 08</v>
          </cell>
          <cell r="B1239">
            <v>26046208</v>
          </cell>
          <cell r="C1239">
            <v>37535</v>
          </cell>
        </row>
        <row r="1240">
          <cell r="A1240" t="str">
            <v>260462 09</v>
          </cell>
          <cell r="B1240">
            <v>26046209</v>
          </cell>
          <cell r="C1240">
            <v>37535</v>
          </cell>
        </row>
        <row r="1241">
          <cell r="A1241" t="str">
            <v>260462 10</v>
          </cell>
          <cell r="B1241">
            <v>26046210</v>
          </cell>
          <cell r="C1241">
            <v>37535</v>
          </cell>
        </row>
        <row r="1242">
          <cell r="A1242" t="str">
            <v>260462 11</v>
          </cell>
          <cell r="B1242">
            <v>26046211</v>
          </cell>
          <cell r="C1242">
            <v>37535</v>
          </cell>
        </row>
        <row r="1243">
          <cell r="A1243" t="str">
            <v>260462 12</v>
          </cell>
          <cell r="B1243">
            <v>26046212</v>
          </cell>
          <cell r="C1243">
            <v>37535</v>
          </cell>
        </row>
        <row r="1244">
          <cell r="A1244" t="str">
            <v>260472 01</v>
          </cell>
          <cell r="B1244">
            <v>26047201</v>
          </cell>
          <cell r="C1244">
            <v>37535</v>
          </cell>
        </row>
        <row r="1245">
          <cell r="A1245" t="str">
            <v>260474 01</v>
          </cell>
          <cell r="B1245">
            <v>26047401</v>
          </cell>
          <cell r="C1245">
            <v>37535</v>
          </cell>
        </row>
        <row r="1246">
          <cell r="A1246" t="str">
            <v>260478 01</v>
          </cell>
          <cell r="B1246">
            <v>26047801</v>
          </cell>
          <cell r="C1246">
            <v>37535</v>
          </cell>
        </row>
        <row r="1247">
          <cell r="A1247" t="str">
            <v>260501 01</v>
          </cell>
          <cell r="B1247">
            <v>26050101</v>
          </cell>
          <cell r="C1247">
            <v>37535</v>
          </cell>
        </row>
        <row r="1248">
          <cell r="A1248" t="str">
            <v>260501 02</v>
          </cell>
          <cell r="B1248">
            <v>26050102</v>
          </cell>
          <cell r="C1248">
            <v>37535</v>
          </cell>
        </row>
        <row r="1249">
          <cell r="A1249" t="str">
            <v>260501 03</v>
          </cell>
          <cell r="B1249">
            <v>26050103</v>
          </cell>
          <cell r="C1249">
            <v>37535</v>
          </cell>
        </row>
        <row r="1250">
          <cell r="A1250" t="str">
            <v>260501 04</v>
          </cell>
          <cell r="B1250">
            <v>26050104</v>
          </cell>
          <cell r="C1250">
            <v>37535</v>
          </cell>
        </row>
        <row r="1251">
          <cell r="A1251" t="str">
            <v>260501 05</v>
          </cell>
          <cell r="B1251">
            <v>26050105</v>
          </cell>
          <cell r="C1251">
            <v>37535</v>
          </cell>
        </row>
        <row r="1252">
          <cell r="A1252" t="str">
            <v>260501 92</v>
          </cell>
          <cell r="B1252">
            <v>26050192</v>
          </cell>
          <cell r="C1252">
            <v>37535</v>
          </cell>
        </row>
        <row r="1253">
          <cell r="A1253" t="str">
            <v>260502 01</v>
          </cell>
          <cell r="B1253">
            <v>26050201</v>
          </cell>
          <cell r="C1253">
            <v>37535</v>
          </cell>
        </row>
        <row r="1254">
          <cell r="A1254" t="str">
            <v>260502 02</v>
          </cell>
          <cell r="B1254">
            <v>26050202</v>
          </cell>
          <cell r="C1254">
            <v>37535</v>
          </cell>
        </row>
        <row r="1255">
          <cell r="A1255" t="str">
            <v>260502 03</v>
          </cell>
          <cell r="B1255">
            <v>26050203</v>
          </cell>
          <cell r="C1255">
            <v>37535</v>
          </cell>
        </row>
        <row r="1256">
          <cell r="A1256" t="str">
            <v>260503 01</v>
          </cell>
          <cell r="B1256">
            <v>26050301</v>
          </cell>
          <cell r="C1256">
            <v>37535</v>
          </cell>
        </row>
        <row r="1257">
          <cell r="A1257" t="str">
            <v>260503 02</v>
          </cell>
          <cell r="B1257">
            <v>26050302</v>
          </cell>
          <cell r="C1257">
            <v>37535</v>
          </cell>
        </row>
        <row r="1258">
          <cell r="A1258" t="str">
            <v>260503 03</v>
          </cell>
          <cell r="B1258">
            <v>26050303</v>
          </cell>
          <cell r="C1258">
            <v>37535</v>
          </cell>
        </row>
        <row r="1259">
          <cell r="A1259" t="str">
            <v>260503 04</v>
          </cell>
          <cell r="B1259">
            <v>26050304</v>
          </cell>
          <cell r="C1259">
            <v>37535</v>
          </cell>
        </row>
        <row r="1260">
          <cell r="A1260" t="str">
            <v>260503 05</v>
          </cell>
          <cell r="B1260">
            <v>26050305</v>
          </cell>
          <cell r="C1260">
            <v>37535</v>
          </cell>
        </row>
        <row r="1261">
          <cell r="A1261" t="str">
            <v>260503 06</v>
          </cell>
          <cell r="B1261">
            <v>26050306</v>
          </cell>
          <cell r="C1261">
            <v>37535</v>
          </cell>
        </row>
        <row r="1262">
          <cell r="A1262" t="str">
            <v>260503 07</v>
          </cell>
          <cell r="B1262">
            <v>26050307</v>
          </cell>
          <cell r="C1262">
            <v>37535</v>
          </cell>
        </row>
        <row r="1263">
          <cell r="A1263" t="str">
            <v>260503 08</v>
          </cell>
          <cell r="B1263">
            <v>26050308</v>
          </cell>
          <cell r="C1263">
            <v>37535</v>
          </cell>
        </row>
        <row r="1264">
          <cell r="A1264" t="str">
            <v>260504 01</v>
          </cell>
          <cell r="B1264">
            <v>26050401</v>
          </cell>
          <cell r="C1264">
            <v>37535</v>
          </cell>
        </row>
        <row r="1265">
          <cell r="A1265" t="str">
            <v>260550 01</v>
          </cell>
          <cell r="B1265">
            <v>26055001</v>
          </cell>
          <cell r="C1265">
            <v>37535</v>
          </cell>
        </row>
        <row r="1266">
          <cell r="A1266" t="str">
            <v>260550 02</v>
          </cell>
          <cell r="B1266">
            <v>26055002</v>
          </cell>
          <cell r="C1266">
            <v>37535</v>
          </cell>
        </row>
        <row r="1267">
          <cell r="A1267" t="str">
            <v>260550 03</v>
          </cell>
          <cell r="B1267">
            <v>26055003</v>
          </cell>
          <cell r="C1267">
            <v>37535</v>
          </cell>
        </row>
        <row r="1268">
          <cell r="A1268" t="str">
            <v>260550 04</v>
          </cell>
          <cell r="B1268">
            <v>26055004</v>
          </cell>
          <cell r="C1268">
            <v>37535</v>
          </cell>
        </row>
        <row r="1269">
          <cell r="A1269" t="str">
            <v>260902 01</v>
          </cell>
          <cell r="B1269">
            <v>26090201</v>
          </cell>
          <cell r="C1269">
            <v>36161</v>
          </cell>
        </row>
        <row r="1270">
          <cell r="A1270" t="str">
            <v>265001 01</v>
          </cell>
          <cell r="B1270">
            <v>26500101</v>
          </cell>
          <cell r="C1270">
            <v>37535</v>
          </cell>
        </row>
        <row r="1271">
          <cell r="A1271" t="str">
            <v>265001 02</v>
          </cell>
          <cell r="B1271">
            <v>26500102</v>
          </cell>
          <cell r="C1271">
            <v>37535</v>
          </cell>
        </row>
        <row r="1272">
          <cell r="A1272" t="str">
            <v>265001 03</v>
          </cell>
          <cell r="B1272">
            <v>26500103</v>
          </cell>
          <cell r="C1272">
            <v>37535</v>
          </cell>
        </row>
        <row r="1273">
          <cell r="A1273" t="str">
            <v>265001 04</v>
          </cell>
          <cell r="B1273">
            <v>26500104</v>
          </cell>
          <cell r="C1273">
            <v>37535</v>
          </cell>
        </row>
        <row r="1274">
          <cell r="A1274" t="str">
            <v>265001 05</v>
          </cell>
          <cell r="B1274">
            <v>26500105</v>
          </cell>
          <cell r="C1274">
            <v>37535</v>
          </cell>
        </row>
        <row r="1275">
          <cell r="A1275" t="str">
            <v>265001 06</v>
          </cell>
          <cell r="B1275">
            <v>26500106</v>
          </cell>
          <cell r="C1275">
            <v>37535</v>
          </cell>
        </row>
        <row r="1276">
          <cell r="A1276" t="str">
            <v>265002 01</v>
          </cell>
          <cell r="B1276">
            <v>26500201</v>
          </cell>
          <cell r="C1276">
            <v>37535</v>
          </cell>
        </row>
        <row r="1277">
          <cell r="A1277" t="str">
            <v>265002 02</v>
          </cell>
          <cell r="B1277">
            <v>26500202</v>
          </cell>
          <cell r="C1277">
            <v>37535</v>
          </cell>
        </row>
        <row r="1278">
          <cell r="A1278" t="str">
            <v>265002 03</v>
          </cell>
          <cell r="B1278">
            <v>26500203</v>
          </cell>
          <cell r="C1278">
            <v>37535</v>
          </cell>
        </row>
        <row r="1279">
          <cell r="A1279" t="str">
            <v>265002 04</v>
          </cell>
          <cell r="B1279">
            <v>26500204</v>
          </cell>
          <cell r="C1279">
            <v>37535</v>
          </cell>
        </row>
        <row r="1280">
          <cell r="A1280" t="str">
            <v>265002 05</v>
          </cell>
          <cell r="B1280">
            <v>26500205</v>
          </cell>
          <cell r="C1280">
            <v>37535</v>
          </cell>
        </row>
        <row r="1281">
          <cell r="A1281" t="str">
            <v>265002 06</v>
          </cell>
          <cell r="B1281">
            <v>26500206</v>
          </cell>
          <cell r="C1281">
            <v>37535</v>
          </cell>
        </row>
        <row r="1282">
          <cell r="A1282" t="str">
            <v>265003 01</v>
          </cell>
          <cell r="B1282">
            <v>26500301</v>
          </cell>
          <cell r="C1282">
            <v>37535</v>
          </cell>
        </row>
        <row r="1283">
          <cell r="A1283" t="str">
            <v>745094 01</v>
          </cell>
          <cell r="B1283">
            <v>74509401</v>
          </cell>
          <cell r="C1283">
            <v>37535</v>
          </cell>
        </row>
        <row r="1284">
          <cell r="A1284" t="str">
            <v>745095 01</v>
          </cell>
          <cell r="B1284">
            <v>74509501</v>
          </cell>
          <cell r="C1284">
            <v>37535</v>
          </cell>
        </row>
        <row r="1285">
          <cell r="A1285" t="str">
            <v xml:space="preserve"> </v>
          </cell>
        </row>
        <row r="1286">
          <cell r="A1286" t="str">
            <v xml:space="preserve"> </v>
          </cell>
        </row>
        <row r="1287">
          <cell r="A1287" t="str">
            <v xml:space="preserve"> </v>
          </cell>
        </row>
        <row r="1288">
          <cell r="A1288" t="str">
            <v xml:space="preserve"> </v>
          </cell>
        </row>
        <row r="1289">
          <cell r="A1289" t="str">
            <v xml:space="preserve"> </v>
          </cell>
        </row>
        <row r="1290">
          <cell r="A1290" t="str">
            <v xml:space="preserve"> </v>
          </cell>
        </row>
        <row r="1291">
          <cell r="A1291" t="str">
            <v xml:space="preserve"> </v>
          </cell>
        </row>
        <row r="1292">
          <cell r="A1292" t="str">
            <v xml:space="preserve"> </v>
          </cell>
        </row>
        <row r="1293">
          <cell r="A1293" t="str">
            <v xml:space="preserve"> </v>
          </cell>
        </row>
        <row r="1294">
          <cell r="A1294" t="str">
            <v xml:space="preserve"> </v>
          </cell>
        </row>
        <row r="1295">
          <cell r="A1295" t="str">
            <v xml:space="preserve"> </v>
          </cell>
        </row>
        <row r="1296">
          <cell r="A1296" t="str">
            <v xml:space="preserve"> </v>
          </cell>
        </row>
        <row r="1297">
          <cell r="A1297" t="str">
            <v xml:space="preserve"> </v>
          </cell>
        </row>
        <row r="1298">
          <cell r="A1298" t="str">
            <v xml:space="preserve"> </v>
          </cell>
        </row>
        <row r="1299">
          <cell r="A1299" t="str">
            <v xml:space="preserve"> </v>
          </cell>
        </row>
        <row r="1300">
          <cell r="A1300" t="str">
            <v xml:space="preserve"> </v>
          </cell>
        </row>
        <row r="1301">
          <cell r="A1301" t="str">
            <v xml:space="preserve"> </v>
          </cell>
        </row>
        <row r="1302">
          <cell r="A1302" t="str">
            <v xml:space="preserve"> </v>
          </cell>
        </row>
        <row r="1303">
          <cell r="A1303" t="str">
            <v xml:space="preserve"> </v>
          </cell>
        </row>
        <row r="1304">
          <cell r="A1304" t="str">
            <v xml:space="preserve"> </v>
          </cell>
        </row>
        <row r="1305">
          <cell r="A1305" t="str">
            <v xml:space="preserve"> </v>
          </cell>
        </row>
        <row r="1306">
          <cell r="A1306" t="str">
            <v xml:space="preserve"> </v>
          </cell>
        </row>
        <row r="1307">
          <cell r="A1307" t="str">
            <v xml:space="preserve"> </v>
          </cell>
        </row>
        <row r="1308">
          <cell r="A1308" t="str">
            <v xml:space="preserve"> </v>
          </cell>
        </row>
        <row r="1309">
          <cell r="A1309" t="str">
            <v xml:space="preserve"> </v>
          </cell>
        </row>
        <row r="1310">
          <cell r="A1310" t="str">
            <v xml:space="preserve"> </v>
          </cell>
        </row>
        <row r="1311">
          <cell r="A1311" t="str">
            <v xml:space="preserve"> </v>
          </cell>
        </row>
        <row r="1312">
          <cell r="A1312" t="str">
            <v xml:space="preserve"> </v>
          </cell>
        </row>
        <row r="1313">
          <cell r="A1313" t="str">
            <v xml:space="preserve"> </v>
          </cell>
        </row>
        <row r="1314">
          <cell r="A1314" t="str">
            <v xml:space="preserve"> </v>
          </cell>
        </row>
        <row r="1315">
          <cell r="A1315" t="str">
            <v xml:space="preserve"> </v>
          </cell>
        </row>
        <row r="1316">
          <cell r="A1316" t="str">
            <v xml:space="preserve"> </v>
          </cell>
        </row>
        <row r="1317">
          <cell r="A1317" t="str">
            <v xml:space="preserve"> </v>
          </cell>
        </row>
        <row r="1318">
          <cell r="A1318" t="str">
            <v xml:space="preserve"> </v>
          </cell>
        </row>
        <row r="1319">
          <cell r="A1319" t="str">
            <v xml:space="preserve"> </v>
          </cell>
        </row>
        <row r="1320">
          <cell r="A1320" t="str">
            <v xml:space="preserve"> </v>
          </cell>
        </row>
        <row r="1321">
          <cell r="A1321" t="str">
            <v xml:space="preserve"> </v>
          </cell>
        </row>
        <row r="1322">
          <cell r="A1322" t="str">
            <v xml:space="preserve"> </v>
          </cell>
        </row>
        <row r="1323">
          <cell r="A1323" t="str">
            <v xml:space="preserve"> </v>
          </cell>
        </row>
        <row r="1324">
          <cell r="A1324" t="str">
            <v xml:space="preserve"> </v>
          </cell>
        </row>
        <row r="1325">
          <cell r="A1325" t="str">
            <v xml:space="preserve"> </v>
          </cell>
        </row>
        <row r="1326">
          <cell r="A1326" t="str">
            <v xml:space="preserve"> </v>
          </cell>
        </row>
        <row r="1327">
          <cell r="A1327" t="str">
            <v xml:space="preserve"> </v>
          </cell>
        </row>
        <row r="1328">
          <cell r="A1328" t="str">
            <v xml:space="preserve"> </v>
          </cell>
        </row>
        <row r="1329">
          <cell r="A1329" t="str">
            <v xml:space="preserve"> </v>
          </cell>
        </row>
        <row r="1330">
          <cell r="A1330" t="str">
            <v xml:space="preserve"> </v>
          </cell>
        </row>
        <row r="1331">
          <cell r="A1331" t="str">
            <v xml:space="preserve"> </v>
          </cell>
        </row>
        <row r="1332">
          <cell r="A1332" t="str">
            <v xml:space="preserve"> </v>
          </cell>
        </row>
        <row r="1333">
          <cell r="A1333" t="str">
            <v xml:space="preserve"> </v>
          </cell>
        </row>
        <row r="1334">
          <cell r="A1334" t="str">
            <v xml:space="preserve"> </v>
          </cell>
        </row>
        <row r="1335">
          <cell r="A1335" t="str">
            <v xml:space="preserve"> </v>
          </cell>
        </row>
        <row r="1336">
          <cell r="A1336" t="str">
            <v xml:space="preserve"> </v>
          </cell>
        </row>
        <row r="1337">
          <cell r="A1337" t="str">
            <v xml:space="preserve"> </v>
          </cell>
        </row>
        <row r="1338">
          <cell r="A1338" t="str">
            <v xml:space="preserve"> </v>
          </cell>
        </row>
        <row r="1339">
          <cell r="A1339" t="str">
            <v xml:space="preserve"> </v>
          </cell>
        </row>
        <row r="1340">
          <cell r="A1340" t="str">
            <v xml:space="preserve"> </v>
          </cell>
        </row>
        <row r="1341">
          <cell r="A1341" t="str">
            <v xml:space="preserve"> </v>
          </cell>
        </row>
        <row r="1342">
          <cell r="A1342" t="str">
            <v xml:space="preserve"> </v>
          </cell>
        </row>
        <row r="1343">
          <cell r="A1343" t="str">
            <v xml:space="preserve"> </v>
          </cell>
        </row>
        <row r="1344">
          <cell r="A1344" t="str">
            <v xml:space="preserve"> </v>
          </cell>
        </row>
        <row r="1345">
          <cell r="A1345" t="str">
            <v xml:space="preserve"> </v>
          </cell>
        </row>
        <row r="1346">
          <cell r="A1346" t="str">
            <v xml:space="preserve"> </v>
          </cell>
        </row>
        <row r="1347">
          <cell r="A1347" t="str">
            <v xml:space="preserve"> </v>
          </cell>
        </row>
        <row r="1348">
          <cell r="A1348" t="str">
            <v xml:space="preserve"> </v>
          </cell>
        </row>
        <row r="1349">
          <cell r="A1349" t="str">
            <v xml:space="preserve"> </v>
          </cell>
        </row>
        <row r="1350">
          <cell r="A1350" t="str">
            <v xml:space="preserve"> </v>
          </cell>
        </row>
        <row r="1351">
          <cell r="A1351" t="str">
            <v xml:space="preserve"> </v>
          </cell>
        </row>
        <row r="1352">
          <cell r="A1352" t="str">
            <v xml:space="preserve"> </v>
          </cell>
        </row>
        <row r="1353">
          <cell r="A1353" t="str">
            <v xml:space="preserve"> </v>
          </cell>
        </row>
        <row r="1354">
          <cell r="A1354" t="str">
            <v xml:space="preserve"> </v>
          </cell>
        </row>
        <row r="1355">
          <cell r="A1355" t="str">
            <v xml:space="preserve"> </v>
          </cell>
        </row>
        <row r="1356">
          <cell r="A1356" t="str">
            <v xml:space="preserve"> </v>
          </cell>
        </row>
        <row r="1357">
          <cell r="A1357" t="str">
            <v xml:space="preserve"> </v>
          </cell>
        </row>
        <row r="1358">
          <cell r="A1358" t="str">
            <v xml:space="preserve"> </v>
          </cell>
        </row>
        <row r="1359">
          <cell r="A1359" t="str">
            <v xml:space="preserve"> </v>
          </cell>
        </row>
        <row r="1360">
          <cell r="A1360" t="str">
            <v xml:space="preserve"> </v>
          </cell>
        </row>
        <row r="1361">
          <cell r="A1361" t="str">
            <v xml:space="preserve"> </v>
          </cell>
        </row>
        <row r="1362">
          <cell r="A1362" t="str">
            <v xml:space="preserve"> </v>
          </cell>
        </row>
        <row r="1363">
          <cell r="A1363" t="str">
            <v xml:space="preserve"> </v>
          </cell>
        </row>
        <row r="1364">
          <cell r="A1364" t="str">
            <v xml:space="preserve"> </v>
          </cell>
        </row>
        <row r="1365">
          <cell r="A1365" t="str">
            <v xml:space="preserve"> </v>
          </cell>
        </row>
        <row r="1366">
          <cell r="A1366" t="str">
            <v xml:space="preserve"> </v>
          </cell>
        </row>
        <row r="1367">
          <cell r="A1367" t="str">
            <v xml:space="preserve"> </v>
          </cell>
        </row>
        <row r="1368">
          <cell r="A1368" t="str">
            <v xml:space="preserve"> </v>
          </cell>
        </row>
        <row r="1369">
          <cell r="A1369" t="str">
            <v xml:space="preserve"> </v>
          </cell>
        </row>
        <row r="1370">
          <cell r="A1370" t="str">
            <v xml:space="preserve"> </v>
          </cell>
        </row>
        <row r="1371">
          <cell r="A1371" t="str">
            <v xml:space="preserve"> </v>
          </cell>
        </row>
        <row r="1372">
          <cell r="A1372" t="str">
            <v xml:space="preserve"> </v>
          </cell>
        </row>
        <row r="1373">
          <cell r="A1373" t="str">
            <v xml:space="preserve"> </v>
          </cell>
        </row>
        <row r="1374">
          <cell r="A1374" t="str">
            <v xml:space="preserve"> </v>
          </cell>
        </row>
        <row r="1375">
          <cell r="A1375" t="str">
            <v xml:space="preserve"> </v>
          </cell>
        </row>
        <row r="1376">
          <cell r="A1376" t="str">
            <v xml:space="preserve"> </v>
          </cell>
        </row>
        <row r="1377">
          <cell r="A1377" t="str">
            <v xml:space="preserve"> </v>
          </cell>
        </row>
        <row r="1378">
          <cell r="A1378" t="str">
            <v xml:space="preserve"> </v>
          </cell>
        </row>
        <row r="1379">
          <cell r="A1379" t="str">
            <v xml:space="preserve"> </v>
          </cell>
        </row>
        <row r="1380">
          <cell r="A1380" t="str">
            <v xml:space="preserve"> </v>
          </cell>
        </row>
        <row r="1381">
          <cell r="A1381" t="str">
            <v xml:space="preserve"> </v>
          </cell>
        </row>
        <row r="1382">
          <cell r="A1382" t="str">
            <v xml:space="preserve"> </v>
          </cell>
        </row>
        <row r="1383">
          <cell r="A1383" t="str">
            <v xml:space="preserve"> </v>
          </cell>
        </row>
        <row r="1384">
          <cell r="A1384" t="str">
            <v xml:space="preserve"> </v>
          </cell>
        </row>
        <row r="1385">
          <cell r="A1385" t="str">
            <v xml:space="preserve"> </v>
          </cell>
        </row>
        <row r="1386">
          <cell r="A1386" t="str">
            <v xml:space="preserve"> </v>
          </cell>
        </row>
        <row r="1387">
          <cell r="A1387" t="str">
            <v xml:space="preserve"> </v>
          </cell>
        </row>
        <row r="1388">
          <cell r="A1388" t="str">
            <v xml:space="preserve"> </v>
          </cell>
        </row>
        <row r="1389">
          <cell r="A1389" t="str">
            <v xml:space="preserve"> </v>
          </cell>
        </row>
        <row r="1390">
          <cell r="A1390" t="str">
            <v xml:space="preserve"> </v>
          </cell>
        </row>
        <row r="1391">
          <cell r="A1391" t="str">
            <v xml:space="preserve"> </v>
          </cell>
        </row>
        <row r="1392">
          <cell r="A1392" t="str">
            <v xml:space="preserve"> </v>
          </cell>
        </row>
        <row r="1393">
          <cell r="A1393" t="str">
            <v xml:space="preserve"> </v>
          </cell>
        </row>
        <row r="1394">
          <cell r="A1394" t="str">
            <v xml:space="preserve"> </v>
          </cell>
        </row>
        <row r="1395">
          <cell r="A1395" t="str">
            <v xml:space="preserve"> </v>
          </cell>
        </row>
        <row r="1396">
          <cell r="A1396" t="str">
            <v xml:space="preserve"> </v>
          </cell>
        </row>
        <row r="1397">
          <cell r="A1397" t="str">
            <v xml:space="preserve"> </v>
          </cell>
        </row>
        <row r="1398">
          <cell r="A1398" t="str">
            <v xml:space="preserve"> </v>
          </cell>
        </row>
        <row r="1399">
          <cell r="A1399" t="str">
            <v xml:space="preserve"> </v>
          </cell>
        </row>
        <row r="1400">
          <cell r="A1400" t="str">
            <v xml:space="preserve"> </v>
          </cell>
        </row>
        <row r="1401">
          <cell r="A1401" t="str">
            <v xml:space="preserve"> </v>
          </cell>
        </row>
        <row r="1402">
          <cell r="A1402" t="str">
            <v xml:space="preserve"> </v>
          </cell>
        </row>
        <row r="1403">
          <cell r="A1403" t="str">
            <v xml:space="preserve"> </v>
          </cell>
        </row>
        <row r="1404">
          <cell r="A1404" t="str">
            <v xml:space="preserve"> </v>
          </cell>
        </row>
        <row r="1405">
          <cell r="A1405" t="str">
            <v xml:space="preserve"> </v>
          </cell>
        </row>
        <row r="1406">
          <cell r="A1406" t="str">
            <v xml:space="preserve"> </v>
          </cell>
        </row>
        <row r="1407">
          <cell r="A1407" t="str">
            <v xml:space="preserve"> </v>
          </cell>
        </row>
        <row r="1408">
          <cell r="A1408" t="str">
            <v xml:space="preserve"> </v>
          </cell>
        </row>
        <row r="1409">
          <cell r="A1409" t="str">
            <v xml:space="preserve"> </v>
          </cell>
        </row>
        <row r="1410">
          <cell r="A1410" t="str">
            <v xml:space="preserve"> 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</row>
        <row r="1414">
          <cell r="A1414" t="str">
            <v xml:space="preserve"> </v>
          </cell>
        </row>
        <row r="1415">
          <cell r="A1415" t="str">
            <v xml:space="preserve"> </v>
          </cell>
        </row>
        <row r="1416">
          <cell r="A1416" t="str">
            <v xml:space="preserve"> </v>
          </cell>
        </row>
        <row r="1417">
          <cell r="A1417" t="str">
            <v xml:space="preserve"> </v>
          </cell>
        </row>
        <row r="1418">
          <cell r="A1418" t="str">
            <v xml:space="preserve"> </v>
          </cell>
        </row>
        <row r="1419">
          <cell r="A1419" t="str">
            <v xml:space="preserve"> </v>
          </cell>
        </row>
        <row r="1420">
          <cell r="A1420" t="str">
            <v xml:space="preserve"> </v>
          </cell>
        </row>
        <row r="1421">
          <cell r="A1421" t="str">
            <v xml:space="preserve"> </v>
          </cell>
        </row>
        <row r="1422">
          <cell r="A1422" t="str">
            <v xml:space="preserve"> </v>
          </cell>
        </row>
        <row r="1423">
          <cell r="A1423" t="str">
            <v xml:space="preserve"> </v>
          </cell>
        </row>
        <row r="1424">
          <cell r="A1424" t="str">
            <v xml:space="preserve"> </v>
          </cell>
        </row>
        <row r="1425">
          <cell r="A1425" t="str">
            <v xml:space="preserve"> </v>
          </cell>
        </row>
        <row r="1426">
          <cell r="A1426" t="str">
            <v xml:space="preserve"> </v>
          </cell>
        </row>
        <row r="1427">
          <cell r="A1427" t="str">
            <v xml:space="preserve"> </v>
          </cell>
        </row>
        <row r="1428">
          <cell r="A1428" t="str">
            <v xml:space="preserve"> </v>
          </cell>
        </row>
        <row r="1429">
          <cell r="A1429" t="str">
            <v xml:space="preserve"> </v>
          </cell>
        </row>
        <row r="1430">
          <cell r="A1430" t="str">
            <v xml:space="preserve"> </v>
          </cell>
        </row>
        <row r="1431">
          <cell r="A1431" t="str">
            <v xml:space="preserve"> </v>
          </cell>
        </row>
        <row r="1432">
          <cell r="A1432" t="str">
            <v xml:space="preserve"> </v>
          </cell>
        </row>
        <row r="1433">
          <cell r="A1433" t="str">
            <v xml:space="preserve"> </v>
          </cell>
        </row>
        <row r="1434">
          <cell r="A1434" t="str">
            <v xml:space="preserve"> </v>
          </cell>
        </row>
        <row r="1435">
          <cell r="A1435" t="str">
            <v xml:space="preserve"> </v>
          </cell>
        </row>
        <row r="1436">
          <cell r="A1436" t="str">
            <v xml:space="preserve"> </v>
          </cell>
        </row>
        <row r="1437">
          <cell r="A1437" t="str">
            <v xml:space="preserve"> </v>
          </cell>
        </row>
        <row r="1438">
          <cell r="A1438" t="str">
            <v xml:space="preserve"> </v>
          </cell>
        </row>
        <row r="1439">
          <cell r="A1439" t="str">
            <v xml:space="preserve"> </v>
          </cell>
        </row>
        <row r="1440">
          <cell r="A1440" t="str">
            <v xml:space="preserve"> </v>
          </cell>
        </row>
        <row r="1441">
          <cell r="A1441" t="str">
            <v xml:space="preserve"> </v>
          </cell>
        </row>
        <row r="1442">
          <cell r="A1442" t="str">
            <v xml:space="preserve"> </v>
          </cell>
        </row>
        <row r="1443">
          <cell r="A1443" t="str">
            <v xml:space="preserve"> </v>
          </cell>
        </row>
        <row r="1444">
          <cell r="A1444" t="str">
            <v xml:space="preserve"> </v>
          </cell>
        </row>
        <row r="1445">
          <cell r="A1445" t="str">
            <v xml:space="preserve"> </v>
          </cell>
        </row>
        <row r="1446">
          <cell r="A1446" t="str">
            <v xml:space="preserve"> </v>
          </cell>
        </row>
        <row r="1447">
          <cell r="A1447" t="str">
            <v xml:space="preserve"> </v>
          </cell>
        </row>
        <row r="1448">
          <cell r="A1448" t="str">
            <v xml:space="preserve"> </v>
          </cell>
        </row>
        <row r="1449">
          <cell r="A1449" t="str">
            <v xml:space="preserve"> </v>
          </cell>
        </row>
        <row r="1450">
          <cell r="A1450" t="str">
            <v xml:space="preserve"> </v>
          </cell>
        </row>
        <row r="1451">
          <cell r="A1451" t="str">
            <v xml:space="preserve"> </v>
          </cell>
        </row>
        <row r="1452">
          <cell r="A1452" t="str">
            <v xml:space="preserve"> </v>
          </cell>
        </row>
        <row r="1453">
          <cell r="A1453" t="str">
            <v xml:space="preserve"> </v>
          </cell>
        </row>
        <row r="1454">
          <cell r="A1454" t="str">
            <v xml:space="preserve"> </v>
          </cell>
        </row>
        <row r="1455">
          <cell r="A1455" t="str">
            <v xml:space="preserve"> </v>
          </cell>
        </row>
        <row r="1456">
          <cell r="A1456" t="str">
            <v xml:space="preserve"> </v>
          </cell>
        </row>
        <row r="1457">
          <cell r="A1457" t="str">
            <v xml:space="preserve"> </v>
          </cell>
        </row>
        <row r="1458">
          <cell r="A1458" t="str">
            <v xml:space="preserve"> </v>
          </cell>
        </row>
        <row r="1459">
          <cell r="A1459" t="str">
            <v xml:space="preserve"> </v>
          </cell>
        </row>
        <row r="1460">
          <cell r="A1460" t="str">
            <v xml:space="preserve"> </v>
          </cell>
        </row>
        <row r="1461">
          <cell r="A1461" t="str">
            <v xml:space="preserve"> </v>
          </cell>
        </row>
        <row r="1462">
          <cell r="A1462" t="str">
            <v xml:space="preserve"> </v>
          </cell>
        </row>
        <row r="1463">
          <cell r="A1463" t="str">
            <v xml:space="preserve"> </v>
          </cell>
        </row>
        <row r="1464">
          <cell r="A1464" t="str">
            <v xml:space="preserve"> </v>
          </cell>
        </row>
        <row r="1465">
          <cell r="A1465" t="str">
            <v xml:space="preserve"> </v>
          </cell>
        </row>
        <row r="1466">
          <cell r="A1466" t="str">
            <v xml:space="preserve"> </v>
          </cell>
        </row>
        <row r="1467">
          <cell r="A1467" t="str">
            <v xml:space="preserve"> </v>
          </cell>
        </row>
        <row r="1468">
          <cell r="A1468" t="str">
            <v xml:space="preserve"> </v>
          </cell>
        </row>
        <row r="1469">
          <cell r="A1469" t="str">
            <v xml:space="preserve"> </v>
          </cell>
        </row>
        <row r="1470">
          <cell r="A1470" t="str">
            <v xml:space="preserve"> </v>
          </cell>
        </row>
        <row r="1471">
          <cell r="A1471" t="str">
            <v xml:space="preserve"> </v>
          </cell>
        </row>
        <row r="1472">
          <cell r="A1472" t="str">
            <v xml:space="preserve"> </v>
          </cell>
        </row>
        <row r="1473">
          <cell r="A1473" t="str">
            <v xml:space="preserve"> </v>
          </cell>
        </row>
        <row r="1474">
          <cell r="A1474" t="str">
            <v xml:space="preserve"> </v>
          </cell>
        </row>
        <row r="1475">
          <cell r="A1475" t="str">
            <v xml:space="preserve"> </v>
          </cell>
        </row>
        <row r="1476">
          <cell r="A1476" t="str">
            <v xml:space="preserve"> </v>
          </cell>
        </row>
        <row r="1477">
          <cell r="A1477" t="str">
            <v xml:space="preserve"> </v>
          </cell>
        </row>
        <row r="1478">
          <cell r="A1478" t="str">
            <v xml:space="preserve"> </v>
          </cell>
        </row>
        <row r="1479">
          <cell r="A1479" t="str">
            <v xml:space="preserve"> </v>
          </cell>
        </row>
        <row r="1480">
          <cell r="A1480" t="str">
            <v xml:space="preserve"> </v>
          </cell>
        </row>
        <row r="1481">
          <cell r="A1481" t="str">
            <v xml:space="preserve"> </v>
          </cell>
        </row>
        <row r="1482">
          <cell r="A1482" t="str">
            <v xml:space="preserve"> </v>
          </cell>
        </row>
        <row r="1483">
          <cell r="A1483" t="str">
            <v xml:space="preserve"> </v>
          </cell>
        </row>
        <row r="1484">
          <cell r="A1484" t="str">
            <v xml:space="preserve"> </v>
          </cell>
        </row>
        <row r="1485">
          <cell r="A1485" t="str">
            <v xml:space="preserve"> </v>
          </cell>
        </row>
        <row r="1486">
          <cell r="A1486" t="str">
            <v xml:space="preserve"> </v>
          </cell>
        </row>
        <row r="1487">
          <cell r="A1487" t="str">
            <v xml:space="preserve"> </v>
          </cell>
        </row>
        <row r="1488">
          <cell r="A1488" t="str">
            <v xml:space="preserve"> </v>
          </cell>
        </row>
        <row r="1489">
          <cell r="A1489" t="str">
            <v xml:space="preserve"> </v>
          </cell>
        </row>
        <row r="1490">
          <cell r="A1490" t="str">
            <v xml:space="preserve"> </v>
          </cell>
        </row>
        <row r="1491">
          <cell r="A1491" t="str">
            <v xml:space="preserve"> </v>
          </cell>
        </row>
        <row r="1492">
          <cell r="A1492" t="str">
            <v xml:space="preserve"> </v>
          </cell>
        </row>
        <row r="1493">
          <cell r="A1493" t="str">
            <v xml:space="preserve"> </v>
          </cell>
        </row>
        <row r="1494">
          <cell r="A1494" t="str">
            <v xml:space="preserve"> </v>
          </cell>
        </row>
        <row r="1495">
          <cell r="A1495" t="str">
            <v xml:space="preserve"> </v>
          </cell>
        </row>
        <row r="1496">
          <cell r="A1496" t="str">
            <v xml:space="preserve"> </v>
          </cell>
        </row>
        <row r="1497">
          <cell r="A1497" t="str">
            <v xml:space="preserve"> </v>
          </cell>
        </row>
        <row r="1498">
          <cell r="A1498" t="str">
            <v xml:space="preserve"> </v>
          </cell>
        </row>
        <row r="1499">
          <cell r="A1499" t="str">
            <v xml:space="preserve"> </v>
          </cell>
        </row>
        <row r="1500">
          <cell r="A1500" t="str">
            <v xml:space="preserve"> </v>
          </cell>
        </row>
        <row r="1501">
          <cell r="A1501" t="str">
            <v xml:space="preserve"> </v>
          </cell>
        </row>
        <row r="1502">
          <cell r="A1502" t="str">
            <v xml:space="preserve"> </v>
          </cell>
        </row>
        <row r="1503">
          <cell r="A1503" t="str">
            <v xml:space="preserve"> </v>
          </cell>
        </row>
        <row r="1504">
          <cell r="A1504" t="str">
            <v xml:space="preserve"> </v>
          </cell>
        </row>
        <row r="1505">
          <cell r="A1505" t="str">
            <v xml:space="preserve"> </v>
          </cell>
        </row>
        <row r="1506">
          <cell r="A1506" t="str">
            <v xml:space="preserve"> </v>
          </cell>
        </row>
        <row r="1507">
          <cell r="A1507" t="str">
            <v xml:space="preserve"> </v>
          </cell>
        </row>
        <row r="1508">
          <cell r="A1508" t="str">
            <v xml:space="preserve"> </v>
          </cell>
        </row>
        <row r="1509">
          <cell r="A1509" t="str">
            <v xml:space="preserve"> </v>
          </cell>
        </row>
        <row r="1510">
          <cell r="A1510" t="str">
            <v xml:space="preserve"> </v>
          </cell>
        </row>
        <row r="1511">
          <cell r="A1511" t="str">
            <v xml:space="preserve"> </v>
          </cell>
        </row>
        <row r="1512">
          <cell r="A1512" t="str">
            <v xml:space="preserve"> </v>
          </cell>
        </row>
        <row r="1513">
          <cell r="A1513" t="str">
            <v xml:space="preserve"> </v>
          </cell>
        </row>
        <row r="1514">
          <cell r="A1514" t="str">
            <v xml:space="preserve"> </v>
          </cell>
        </row>
        <row r="1515">
          <cell r="A1515" t="str">
            <v xml:space="preserve"> </v>
          </cell>
        </row>
        <row r="1516">
          <cell r="A1516" t="str">
            <v xml:space="preserve"> </v>
          </cell>
        </row>
        <row r="1517">
          <cell r="A1517" t="str">
            <v xml:space="preserve"> </v>
          </cell>
        </row>
        <row r="1518">
          <cell r="A1518" t="str">
            <v xml:space="preserve"> </v>
          </cell>
        </row>
        <row r="1519">
          <cell r="A1519" t="str">
            <v xml:space="preserve"> </v>
          </cell>
        </row>
        <row r="1520">
          <cell r="A1520" t="str">
            <v xml:space="preserve"> </v>
          </cell>
        </row>
        <row r="1521">
          <cell r="A1521" t="str">
            <v xml:space="preserve"> </v>
          </cell>
        </row>
        <row r="1522">
          <cell r="A1522" t="str">
            <v xml:space="preserve"> </v>
          </cell>
        </row>
        <row r="1523">
          <cell r="A1523" t="str">
            <v xml:space="preserve"> </v>
          </cell>
        </row>
        <row r="1524">
          <cell r="A1524" t="str">
            <v xml:space="preserve"> </v>
          </cell>
        </row>
        <row r="1525">
          <cell r="A1525" t="str">
            <v xml:space="preserve"> </v>
          </cell>
        </row>
        <row r="1526">
          <cell r="A1526" t="str">
            <v xml:space="preserve"> </v>
          </cell>
        </row>
        <row r="1527">
          <cell r="A1527" t="str">
            <v xml:space="preserve"> 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</row>
        <row r="1530">
          <cell r="A1530" t="str">
            <v xml:space="preserve"> </v>
          </cell>
        </row>
        <row r="1531">
          <cell r="A1531" t="str">
            <v xml:space="preserve"> </v>
          </cell>
        </row>
        <row r="1532">
          <cell r="A1532" t="str">
            <v xml:space="preserve"> </v>
          </cell>
        </row>
        <row r="1533">
          <cell r="A1533" t="str">
            <v xml:space="preserve"> </v>
          </cell>
        </row>
        <row r="1534">
          <cell r="A1534" t="str">
            <v xml:space="preserve"> </v>
          </cell>
        </row>
        <row r="1535">
          <cell r="A1535" t="str">
            <v xml:space="preserve"> </v>
          </cell>
        </row>
        <row r="1536">
          <cell r="A1536" t="str">
            <v xml:space="preserve"> </v>
          </cell>
        </row>
        <row r="1537">
          <cell r="A1537" t="str">
            <v xml:space="preserve"> </v>
          </cell>
        </row>
        <row r="1538">
          <cell r="A1538" t="str">
            <v xml:space="preserve"> </v>
          </cell>
        </row>
        <row r="1539">
          <cell r="A1539" t="str">
            <v xml:space="preserve"> </v>
          </cell>
        </row>
        <row r="1540">
          <cell r="A1540" t="str">
            <v xml:space="preserve"> </v>
          </cell>
        </row>
        <row r="1541">
          <cell r="A1541" t="str">
            <v xml:space="preserve"> </v>
          </cell>
        </row>
        <row r="1542">
          <cell r="A1542" t="str">
            <v xml:space="preserve"> </v>
          </cell>
        </row>
        <row r="1543">
          <cell r="A1543" t="str">
            <v xml:space="preserve"> </v>
          </cell>
        </row>
        <row r="1544">
          <cell r="A1544" t="str">
            <v xml:space="preserve"> </v>
          </cell>
        </row>
        <row r="1545">
          <cell r="A1545" t="str">
            <v xml:space="preserve"> </v>
          </cell>
        </row>
        <row r="1546">
          <cell r="A1546" t="str">
            <v xml:space="preserve"> </v>
          </cell>
        </row>
        <row r="1547">
          <cell r="A1547" t="str">
            <v xml:space="preserve"> </v>
          </cell>
        </row>
        <row r="1548">
          <cell r="A1548" t="str">
            <v xml:space="preserve"> </v>
          </cell>
        </row>
        <row r="1549">
          <cell r="A1549" t="str">
            <v xml:space="preserve"> </v>
          </cell>
        </row>
        <row r="1550">
          <cell r="A1550" t="str">
            <v xml:space="preserve"> </v>
          </cell>
        </row>
        <row r="1551">
          <cell r="A1551" t="str">
            <v xml:space="preserve"> </v>
          </cell>
        </row>
        <row r="1552">
          <cell r="A1552" t="str">
            <v xml:space="preserve"> </v>
          </cell>
        </row>
        <row r="1553">
          <cell r="A1553" t="str">
            <v xml:space="preserve"> </v>
          </cell>
        </row>
        <row r="1554">
          <cell r="A1554" t="str">
            <v xml:space="preserve"> </v>
          </cell>
        </row>
        <row r="1555">
          <cell r="A1555" t="str">
            <v xml:space="preserve"> </v>
          </cell>
        </row>
        <row r="1556">
          <cell r="A1556" t="str">
            <v xml:space="preserve"> </v>
          </cell>
        </row>
        <row r="1557">
          <cell r="A1557" t="str">
            <v xml:space="preserve"> </v>
          </cell>
        </row>
        <row r="1558">
          <cell r="A1558" t="str">
            <v xml:space="preserve"> </v>
          </cell>
        </row>
        <row r="1559">
          <cell r="A1559" t="str">
            <v xml:space="preserve"> </v>
          </cell>
        </row>
        <row r="1560">
          <cell r="A1560" t="str">
            <v xml:space="preserve"> </v>
          </cell>
        </row>
        <row r="1561">
          <cell r="A1561" t="str">
            <v xml:space="preserve"> </v>
          </cell>
        </row>
        <row r="1562">
          <cell r="A1562" t="str">
            <v xml:space="preserve"> </v>
          </cell>
        </row>
        <row r="1563">
          <cell r="A1563" t="str">
            <v xml:space="preserve"> </v>
          </cell>
        </row>
        <row r="1564">
          <cell r="A1564" t="str">
            <v xml:space="preserve"> </v>
          </cell>
        </row>
        <row r="1565">
          <cell r="A1565" t="str">
            <v xml:space="preserve"> </v>
          </cell>
        </row>
        <row r="1566">
          <cell r="A1566" t="str">
            <v xml:space="preserve"> </v>
          </cell>
        </row>
        <row r="1567">
          <cell r="A1567" t="str">
            <v xml:space="preserve"> </v>
          </cell>
        </row>
        <row r="1568">
          <cell r="A1568" t="str">
            <v xml:space="preserve"> </v>
          </cell>
        </row>
        <row r="1569">
          <cell r="A1569" t="str">
            <v xml:space="preserve"> </v>
          </cell>
        </row>
        <row r="1570">
          <cell r="A1570" t="str">
            <v xml:space="preserve"> </v>
          </cell>
        </row>
        <row r="1571">
          <cell r="A1571" t="str">
            <v xml:space="preserve"> </v>
          </cell>
        </row>
        <row r="1572">
          <cell r="A1572" t="str">
            <v xml:space="preserve"> </v>
          </cell>
        </row>
        <row r="1573">
          <cell r="A1573" t="str">
            <v xml:space="preserve"> </v>
          </cell>
        </row>
        <row r="1574">
          <cell r="A1574" t="str">
            <v xml:space="preserve"> </v>
          </cell>
        </row>
        <row r="1575">
          <cell r="A1575" t="str">
            <v xml:space="preserve"> </v>
          </cell>
        </row>
        <row r="1576">
          <cell r="A1576" t="str">
            <v xml:space="preserve"> </v>
          </cell>
        </row>
        <row r="1577">
          <cell r="A1577" t="str">
            <v xml:space="preserve"> </v>
          </cell>
        </row>
        <row r="1578">
          <cell r="A1578" t="str">
            <v xml:space="preserve"> </v>
          </cell>
        </row>
        <row r="1579">
          <cell r="A1579" t="str">
            <v xml:space="preserve"> </v>
          </cell>
        </row>
        <row r="1580">
          <cell r="A1580" t="str">
            <v xml:space="preserve"> </v>
          </cell>
        </row>
        <row r="1581">
          <cell r="A1581" t="str">
            <v xml:space="preserve"> </v>
          </cell>
        </row>
        <row r="1582">
          <cell r="A1582" t="str">
            <v xml:space="preserve"> </v>
          </cell>
        </row>
        <row r="1583">
          <cell r="A1583" t="str">
            <v xml:space="preserve"> </v>
          </cell>
        </row>
        <row r="1584">
          <cell r="A1584" t="str">
            <v xml:space="preserve"> </v>
          </cell>
        </row>
        <row r="1585">
          <cell r="A1585" t="str">
            <v xml:space="preserve"> </v>
          </cell>
        </row>
        <row r="1586">
          <cell r="A1586" t="str">
            <v xml:space="preserve"> </v>
          </cell>
        </row>
        <row r="1587">
          <cell r="A1587" t="str">
            <v xml:space="preserve"> </v>
          </cell>
        </row>
        <row r="1588">
          <cell r="A1588" t="str">
            <v xml:space="preserve"> </v>
          </cell>
        </row>
        <row r="1589">
          <cell r="A1589" t="str">
            <v xml:space="preserve"> </v>
          </cell>
        </row>
        <row r="1590">
          <cell r="A1590" t="str">
            <v xml:space="preserve"> </v>
          </cell>
        </row>
        <row r="1591">
          <cell r="A1591" t="str">
            <v xml:space="preserve"> </v>
          </cell>
        </row>
        <row r="1592">
          <cell r="A1592" t="str">
            <v xml:space="preserve"> </v>
          </cell>
        </row>
        <row r="1593">
          <cell r="A1593" t="str">
            <v xml:space="preserve"> </v>
          </cell>
        </row>
        <row r="1594">
          <cell r="A1594" t="str">
            <v xml:space="preserve"> </v>
          </cell>
        </row>
        <row r="1595">
          <cell r="A1595" t="str">
            <v xml:space="preserve"> </v>
          </cell>
        </row>
        <row r="1596">
          <cell r="A1596" t="str">
            <v xml:space="preserve"> </v>
          </cell>
        </row>
        <row r="1597">
          <cell r="A1597" t="str">
            <v xml:space="preserve"> </v>
          </cell>
        </row>
        <row r="1598">
          <cell r="A1598" t="str">
            <v xml:space="preserve"> </v>
          </cell>
        </row>
        <row r="1599">
          <cell r="A1599" t="str">
            <v xml:space="preserve"> </v>
          </cell>
        </row>
        <row r="1600">
          <cell r="A1600" t="str">
            <v xml:space="preserve"> </v>
          </cell>
        </row>
        <row r="1601">
          <cell r="A1601" t="str">
            <v xml:space="preserve"> </v>
          </cell>
        </row>
        <row r="1602">
          <cell r="A1602" t="str">
            <v xml:space="preserve"> </v>
          </cell>
        </row>
        <row r="1603">
          <cell r="A1603" t="str">
            <v xml:space="preserve"> </v>
          </cell>
        </row>
        <row r="1604">
          <cell r="A1604" t="str">
            <v xml:space="preserve"> </v>
          </cell>
        </row>
        <row r="1605">
          <cell r="A1605" t="str">
            <v xml:space="preserve"> </v>
          </cell>
        </row>
        <row r="1606">
          <cell r="A1606" t="str">
            <v xml:space="preserve"> </v>
          </cell>
        </row>
        <row r="1607">
          <cell r="A1607" t="str">
            <v xml:space="preserve"> </v>
          </cell>
        </row>
        <row r="1608">
          <cell r="A1608" t="str">
            <v xml:space="preserve"> </v>
          </cell>
        </row>
        <row r="1609">
          <cell r="A1609" t="str">
            <v xml:space="preserve"> </v>
          </cell>
        </row>
        <row r="1610">
          <cell r="A1610" t="str">
            <v xml:space="preserve"> </v>
          </cell>
        </row>
        <row r="1611">
          <cell r="A1611" t="str">
            <v xml:space="preserve"> </v>
          </cell>
        </row>
        <row r="1612">
          <cell r="A1612" t="str">
            <v xml:space="preserve"> </v>
          </cell>
        </row>
        <row r="1613">
          <cell r="A1613" t="str">
            <v xml:space="preserve"> </v>
          </cell>
        </row>
        <row r="1614">
          <cell r="A1614" t="str">
            <v xml:space="preserve"> </v>
          </cell>
        </row>
        <row r="1615">
          <cell r="A1615" t="str">
            <v xml:space="preserve"> </v>
          </cell>
        </row>
        <row r="1616">
          <cell r="A1616" t="str">
            <v xml:space="preserve"> </v>
          </cell>
        </row>
        <row r="1617">
          <cell r="A1617" t="str">
            <v xml:space="preserve"> </v>
          </cell>
        </row>
        <row r="1618">
          <cell r="A1618" t="str">
            <v xml:space="preserve"> </v>
          </cell>
        </row>
        <row r="1619">
          <cell r="A1619" t="str">
            <v xml:space="preserve"> </v>
          </cell>
        </row>
        <row r="1620">
          <cell r="A1620" t="str">
            <v xml:space="preserve"> </v>
          </cell>
        </row>
        <row r="1621">
          <cell r="A1621" t="str">
            <v xml:space="preserve"> </v>
          </cell>
        </row>
        <row r="1622">
          <cell r="A1622" t="str">
            <v xml:space="preserve"> </v>
          </cell>
        </row>
        <row r="1623">
          <cell r="A1623" t="str">
            <v xml:space="preserve"> </v>
          </cell>
        </row>
        <row r="1624">
          <cell r="A1624" t="str">
            <v xml:space="preserve"> </v>
          </cell>
        </row>
        <row r="1625">
          <cell r="A1625" t="str">
            <v xml:space="preserve"> </v>
          </cell>
        </row>
        <row r="1626">
          <cell r="A1626" t="str">
            <v xml:space="preserve"> </v>
          </cell>
        </row>
        <row r="1627">
          <cell r="A1627" t="str">
            <v xml:space="preserve"> </v>
          </cell>
        </row>
        <row r="1628">
          <cell r="A1628" t="str">
            <v xml:space="preserve"> </v>
          </cell>
        </row>
        <row r="1629">
          <cell r="A1629" t="str">
            <v xml:space="preserve"> </v>
          </cell>
        </row>
        <row r="1630">
          <cell r="A1630" t="str">
            <v xml:space="preserve"> </v>
          </cell>
        </row>
        <row r="1631">
          <cell r="A1631" t="str">
            <v xml:space="preserve"> </v>
          </cell>
        </row>
        <row r="1632">
          <cell r="A1632" t="str">
            <v xml:space="preserve"> </v>
          </cell>
        </row>
        <row r="1633">
          <cell r="A1633" t="str">
            <v xml:space="preserve"> </v>
          </cell>
        </row>
        <row r="1634">
          <cell r="A1634" t="str">
            <v xml:space="preserve"> </v>
          </cell>
        </row>
        <row r="1635">
          <cell r="A1635" t="str">
            <v xml:space="preserve"> </v>
          </cell>
        </row>
        <row r="1636">
          <cell r="A1636" t="str">
            <v xml:space="preserve"> </v>
          </cell>
        </row>
        <row r="1637">
          <cell r="A1637" t="str">
            <v xml:space="preserve"> </v>
          </cell>
        </row>
        <row r="1638">
          <cell r="A1638" t="str">
            <v xml:space="preserve"> </v>
          </cell>
        </row>
        <row r="1639">
          <cell r="A1639" t="str">
            <v xml:space="preserve"> </v>
          </cell>
        </row>
        <row r="1640">
          <cell r="A1640" t="str">
            <v xml:space="preserve"> </v>
          </cell>
        </row>
        <row r="1641">
          <cell r="A1641" t="str">
            <v xml:space="preserve"> </v>
          </cell>
        </row>
        <row r="1642">
          <cell r="A1642" t="str">
            <v xml:space="preserve"> </v>
          </cell>
        </row>
        <row r="1643">
          <cell r="A1643" t="str">
            <v xml:space="preserve"> </v>
          </cell>
        </row>
        <row r="1644">
          <cell r="A1644" t="str">
            <v xml:space="preserve"> </v>
          </cell>
        </row>
        <row r="1645">
          <cell r="A1645" t="str">
            <v xml:space="preserve"> </v>
          </cell>
        </row>
        <row r="1646">
          <cell r="A1646" t="str">
            <v xml:space="preserve"> </v>
          </cell>
        </row>
        <row r="1647">
          <cell r="A1647" t="str">
            <v xml:space="preserve"> </v>
          </cell>
        </row>
        <row r="1648">
          <cell r="A1648" t="str">
            <v xml:space="preserve"> </v>
          </cell>
        </row>
        <row r="1649">
          <cell r="A1649" t="str">
            <v xml:space="preserve"> </v>
          </cell>
        </row>
        <row r="1650">
          <cell r="A1650" t="str">
            <v xml:space="preserve"> </v>
          </cell>
        </row>
        <row r="1651">
          <cell r="A1651" t="str">
            <v xml:space="preserve"> </v>
          </cell>
        </row>
        <row r="1652">
          <cell r="A1652" t="str">
            <v xml:space="preserve"> </v>
          </cell>
        </row>
        <row r="1653">
          <cell r="A1653" t="str">
            <v xml:space="preserve"> </v>
          </cell>
        </row>
        <row r="1654">
          <cell r="A1654" t="str">
            <v xml:space="preserve"> </v>
          </cell>
        </row>
        <row r="1655">
          <cell r="A1655" t="str">
            <v xml:space="preserve"> </v>
          </cell>
        </row>
        <row r="1656">
          <cell r="A1656" t="str">
            <v xml:space="preserve"> </v>
          </cell>
        </row>
        <row r="1657">
          <cell r="A1657" t="str">
            <v xml:space="preserve"> </v>
          </cell>
        </row>
        <row r="1658">
          <cell r="A1658" t="str">
            <v xml:space="preserve"> </v>
          </cell>
        </row>
        <row r="1659">
          <cell r="A1659" t="str">
            <v xml:space="preserve"> </v>
          </cell>
        </row>
        <row r="1660">
          <cell r="A1660" t="str">
            <v xml:space="preserve"> </v>
          </cell>
        </row>
        <row r="1661">
          <cell r="A1661" t="str">
            <v xml:space="preserve"> </v>
          </cell>
        </row>
        <row r="1662">
          <cell r="A1662" t="str">
            <v xml:space="preserve"> </v>
          </cell>
        </row>
        <row r="1663">
          <cell r="A1663" t="str">
            <v xml:space="preserve"> </v>
          </cell>
        </row>
        <row r="1664">
          <cell r="A1664" t="str">
            <v xml:space="preserve"> </v>
          </cell>
        </row>
        <row r="1665">
          <cell r="A1665" t="str">
            <v xml:space="preserve"> </v>
          </cell>
        </row>
        <row r="1666">
          <cell r="A1666" t="str">
            <v xml:space="preserve"> </v>
          </cell>
        </row>
        <row r="1667">
          <cell r="A1667" t="str">
            <v xml:space="preserve"> </v>
          </cell>
        </row>
        <row r="1668">
          <cell r="A1668" t="str">
            <v xml:space="preserve"> </v>
          </cell>
        </row>
        <row r="1669">
          <cell r="A1669" t="str">
            <v xml:space="preserve"> </v>
          </cell>
        </row>
        <row r="1670">
          <cell r="A1670" t="str">
            <v xml:space="preserve"> </v>
          </cell>
        </row>
        <row r="1671">
          <cell r="A1671" t="str">
            <v xml:space="preserve"> </v>
          </cell>
        </row>
        <row r="1672">
          <cell r="A1672" t="str">
            <v xml:space="preserve"> </v>
          </cell>
        </row>
        <row r="1673">
          <cell r="A1673" t="str">
            <v xml:space="preserve"> </v>
          </cell>
        </row>
        <row r="1674">
          <cell r="A1674" t="str">
            <v xml:space="preserve"> </v>
          </cell>
        </row>
        <row r="1675">
          <cell r="A1675" t="str">
            <v xml:space="preserve"> </v>
          </cell>
        </row>
        <row r="1676">
          <cell r="A1676" t="str">
            <v xml:space="preserve"> </v>
          </cell>
        </row>
        <row r="1677">
          <cell r="A1677" t="str">
            <v xml:space="preserve"> </v>
          </cell>
        </row>
        <row r="1678">
          <cell r="A1678" t="str">
            <v xml:space="preserve"> </v>
          </cell>
        </row>
        <row r="1679">
          <cell r="A1679" t="str">
            <v xml:space="preserve"> </v>
          </cell>
        </row>
        <row r="1680">
          <cell r="A1680" t="str">
            <v xml:space="preserve"> </v>
          </cell>
        </row>
        <row r="1681">
          <cell r="A1681" t="str">
            <v xml:space="preserve"> </v>
          </cell>
        </row>
        <row r="1682">
          <cell r="A1682" t="str">
            <v xml:space="preserve"> </v>
          </cell>
        </row>
        <row r="1683">
          <cell r="A1683" t="str">
            <v xml:space="preserve"> </v>
          </cell>
        </row>
        <row r="1684">
          <cell r="A1684" t="str">
            <v xml:space="preserve"> </v>
          </cell>
        </row>
        <row r="1685">
          <cell r="A1685" t="str">
            <v xml:space="preserve"> </v>
          </cell>
        </row>
        <row r="1686">
          <cell r="A1686" t="str">
            <v xml:space="preserve"> </v>
          </cell>
        </row>
        <row r="1687">
          <cell r="A1687" t="str">
            <v xml:space="preserve"> </v>
          </cell>
        </row>
        <row r="1688">
          <cell r="A1688" t="str">
            <v xml:space="preserve"> </v>
          </cell>
        </row>
        <row r="1689">
          <cell r="A1689" t="str">
            <v xml:space="preserve"> </v>
          </cell>
        </row>
        <row r="1690">
          <cell r="A1690" t="str">
            <v xml:space="preserve"> </v>
          </cell>
        </row>
        <row r="1691">
          <cell r="A1691" t="str">
            <v xml:space="preserve"> </v>
          </cell>
        </row>
        <row r="1692">
          <cell r="A1692" t="str">
            <v xml:space="preserve"> </v>
          </cell>
        </row>
        <row r="1693">
          <cell r="A1693" t="str">
            <v xml:space="preserve"> </v>
          </cell>
        </row>
        <row r="1694">
          <cell r="A1694" t="str">
            <v xml:space="preserve"> </v>
          </cell>
        </row>
        <row r="1695">
          <cell r="A1695" t="str">
            <v xml:space="preserve"> </v>
          </cell>
        </row>
        <row r="1696">
          <cell r="A1696" t="str">
            <v xml:space="preserve"> </v>
          </cell>
        </row>
        <row r="1697">
          <cell r="A1697" t="str">
            <v xml:space="preserve"> </v>
          </cell>
        </row>
        <row r="1698">
          <cell r="A1698" t="str">
            <v xml:space="preserve"> </v>
          </cell>
        </row>
        <row r="1699">
          <cell r="A1699" t="str">
            <v xml:space="preserve"> </v>
          </cell>
        </row>
        <row r="1700">
          <cell r="A1700" t="str">
            <v xml:space="preserve"> </v>
          </cell>
        </row>
        <row r="1701">
          <cell r="A1701" t="str">
            <v xml:space="preserve"> </v>
          </cell>
        </row>
        <row r="1702">
          <cell r="A1702" t="str">
            <v xml:space="preserve"> </v>
          </cell>
        </row>
        <row r="1703">
          <cell r="A1703" t="str">
            <v xml:space="preserve"> </v>
          </cell>
        </row>
        <row r="1704">
          <cell r="A1704" t="str">
            <v xml:space="preserve"> </v>
          </cell>
        </row>
        <row r="1705">
          <cell r="A1705" t="str">
            <v xml:space="preserve"> </v>
          </cell>
        </row>
        <row r="1706">
          <cell r="A1706" t="str">
            <v xml:space="preserve"> </v>
          </cell>
        </row>
        <row r="1707">
          <cell r="A1707" t="str">
            <v xml:space="preserve"> </v>
          </cell>
        </row>
        <row r="1708">
          <cell r="A1708" t="str">
            <v xml:space="preserve"> </v>
          </cell>
        </row>
        <row r="1709">
          <cell r="A1709" t="str">
            <v xml:space="preserve"> </v>
          </cell>
        </row>
        <row r="1710">
          <cell r="A1710" t="str">
            <v xml:space="preserve"> </v>
          </cell>
        </row>
        <row r="1711">
          <cell r="A1711" t="str">
            <v xml:space="preserve"> </v>
          </cell>
        </row>
        <row r="1712">
          <cell r="A1712" t="str">
            <v xml:space="preserve"> </v>
          </cell>
        </row>
        <row r="1713">
          <cell r="A1713" t="str">
            <v xml:space="preserve"> </v>
          </cell>
        </row>
        <row r="1714">
          <cell r="A1714" t="str">
            <v xml:space="preserve"> </v>
          </cell>
        </row>
        <row r="1715">
          <cell r="A1715" t="str">
            <v xml:space="preserve"> </v>
          </cell>
        </row>
        <row r="1716">
          <cell r="A1716" t="str">
            <v xml:space="preserve"> </v>
          </cell>
        </row>
        <row r="1717">
          <cell r="A1717" t="str">
            <v xml:space="preserve"> </v>
          </cell>
        </row>
        <row r="1718">
          <cell r="A1718" t="str">
            <v xml:space="preserve"> </v>
          </cell>
        </row>
        <row r="1719">
          <cell r="A1719" t="str">
            <v xml:space="preserve"> </v>
          </cell>
        </row>
        <row r="1720">
          <cell r="A1720" t="str">
            <v xml:space="preserve"> </v>
          </cell>
        </row>
        <row r="1721">
          <cell r="A1721" t="str">
            <v xml:space="preserve"> </v>
          </cell>
        </row>
        <row r="1722">
          <cell r="A1722" t="str">
            <v xml:space="preserve"> </v>
          </cell>
        </row>
        <row r="1723">
          <cell r="A1723" t="str">
            <v xml:space="preserve"> </v>
          </cell>
        </row>
        <row r="1724">
          <cell r="A1724" t="str">
            <v xml:space="preserve"> </v>
          </cell>
        </row>
        <row r="1725">
          <cell r="A1725" t="str">
            <v xml:space="preserve"> </v>
          </cell>
        </row>
        <row r="1726">
          <cell r="A1726" t="str">
            <v xml:space="preserve"> </v>
          </cell>
        </row>
        <row r="1727">
          <cell r="A1727" t="str">
            <v xml:space="preserve"> </v>
          </cell>
        </row>
        <row r="1728">
          <cell r="A1728" t="str">
            <v xml:space="preserve"> </v>
          </cell>
        </row>
        <row r="1729">
          <cell r="A1729" t="str">
            <v xml:space="preserve"> </v>
          </cell>
        </row>
        <row r="1730">
          <cell r="A1730" t="str">
            <v xml:space="preserve"> </v>
          </cell>
        </row>
        <row r="1731">
          <cell r="A1731" t="str">
            <v xml:space="preserve"> </v>
          </cell>
        </row>
        <row r="1732">
          <cell r="A1732" t="str">
            <v xml:space="preserve"> </v>
          </cell>
        </row>
        <row r="1733">
          <cell r="A1733" t="str">
            <v xml:space="preserve"> </v>
          </cell>
        </row>
        <row r="1734">
          <cell r="A1734" t="str">
            <v xml:space="preserve"> </v>
          </cell>
        </row>
        <row r="1735">
          <cell r="A1735" t="str">
            <v xml:space="preserve"> </v>
          </cell>
        </row>
        <row r="1736">
          <cell r="A1736" t="str">
            <v xml:space="preserve"> </v>
          </cell>
        </row>
        <row r="1737">
          <cell r="A1737" t="str">
            <v xml:space="preserve"> </v>
          </cell>
        </row>
        <row r="1738">
          <cell r="A1738" t="str">
            <v xml:space="preserve"> </v>
          </cell>
        </row>
        <row r="1739">
          <cell r="A1739" t="str">
            <v xml:space="preserve"> </v>
          </cell>
        </row>
        <row r="1740">
          <cell r="A1740" t="str">
            <v xml:space="preserve"> </v>
          </cell>
        </row>
        <row r="1741">
          <cell r="A1741" t="str">
            <v xml:space="preserve"> </v>
          </cell>
        </row>
        <row r="1742">
          <cell r="A1742" t="str">
            <v xml:space="preserve"> </v>
          </cell>
        </row>
        <row r="1743">
          <cell r="A1743" t="str">
            <v xml:space="preserve"> </v>
          </cell>
        </row>
        <row r="1744">
          <cell r="A1744" t="str">
            <v xml:space="preserve"> </v>
          </cell>
        </row>
        <row r="1745">
          <cell r="A1745" t="str">
            <v xml:space="preserve"> </v>
          </cell>
        </row>
        <row r="1746">
          <cell r="A1746" t="str">
            <v xml:space="preserve"> </v>
          </cell>
        </row>
        <row r="1747">
          <cell r="A1747" t="str">
            <v xml:space="preserve"> </v>
          </cell>
        </row>
        <row r="1748">
          <cell r="A1748" t="str">
            <v xml:space="preserve"> </v>
          </cell>
        </row>
        <row r="1749">
          <cell r="A1749" t="str">
            <v xml:space="preserve"> </v>
          </cell>
        </row>
        <row r="1750">
          <cell r="A1750" t="str">
            <v xml:space="preserve"> </v>
          </cell>
        </row>
        <row r="1751">
          <cell r="A1751" t="str">
            <v xml:space="preserve"> </v>
          </cell>
        </row>
        <row r="1752">
          <cell r="A1752" t="str">
            <v xml:space="preserve"> </v>
          </cell>
        </row>
        <row r="1753">
          <cell r="A1753" t="str">
            <v xml:space="preserve"> </v>
          </cell>
        </row>
        <row r="1754">
          <cell r="A1754" t="str">
            <v xml:space="preserve"> </v>
          </cell>
        </row>
        <row r="1755">
          <cell r="A1755" t="str">
            <v xml:space="preserve"> </v>
          </cell>
        </row>
        <row r="1756">
          <cell r="A1756" t="str">
            <v xml:space="preserve"> </v>
          </cell>
        </row>
        <row r="1757">
          <cell r="A1757" t="str">
            <v xml:space="preserve"> </v>
          </cell>
        </row>
        <row r="1758">
          <cell r="A1758" t="str">
            <v xml:space="preserve"> </v>
          </cell>
        </row>
        <row r="1759">
          <cell r="A1759" t="str">
            <v xml:space="preserve"> </v>
          </cell>
        </row>
        <row r="1760">
          <cell r="A1760" t="str">
            <v xml:space="preserve"> </v>
          </cell>
        </row>
        <row r="1761">
          <cell r="A1761" t="str">
            <v xml:space="preserve"> </v>
          </cell>
        </row>
        <row r="1762">
          <cell r="A1762" t="str">
            <v xml:space="preserve"> </v>
          </cell>
        </row>
        <row r="1763">
          <cell r="A1763" t="str">
            <v xml:space="preserve"> </v>
          </cell>
        </row>
        <row r="1764">
          <cell r="A1764" t="str">
            <v xml:space="preserve"> </v>
          </cell>
        </row>
        <row r="1765">
          <cell r="A1765" t="str">
            <v xml:space="preserve"> </v>
          </cell>
        </row>
        <row r="1766">
          <cell r="A1766" t="str">
            <v xml:space="preserve"> </v>
          </cell>
        </row>
        <row r="1767">
          <cell r="A1767" t="str">
            <v xml:space="preserve"> </v>
          </cell>
        </row>
        <row r="1768">
          <cell r="A1768" t="str">
            <v xml:space="preserve"> </v>
          </cell>
        </row>
        <row r="1769">
          <cell r="A1769" t="str">
            <v xml:space="preserve"> </v>
          </cell>
        </row>
        <row r="1770">
          <cell r="A1770" t="str">
            <v xml:space="preserve"> </v>
          </cell>
        </row>
        <row r="1771">
          <cell r="A1771" t="str">
            <v xml:space="preserve"> </v>
          </cell>
        </row>
        <row r="1772">
          <cell r="A1772" t="str">
            <v xml:space="preserve"> </v>
          </cell>
        </row>
        <row r="1773">
          <cell r="A1773" t="str">
            <v xml:space="preserve"> </v>
          </cell>
        </row>
        <row r="1774">
          <cell r="A1774" t="str">
            <v xml:space="preserve"> </v>
          </cell>
        </row>
        <row r="1775">
          <cell r="A1775" t="str">
            <v xml:space="preserve"> </v>
          </cell>
        </row>
        <row r="1776">
          <cell r="A1776" t="str">
            <v xml:space="preserve"> </v>
          </cell>
        </row>
        <row r="1777">
          <cell r="A1777" t="str">
            <v xml:space="preserve"> </v>
          </cell>
        </row>
        <row r="1778">
          <cell r="A1778" t="str">
            <v xml:space="preserve"> </v>
          </cell>
        </row>
        <row r="1779">
          <cell r="A1779" t="str">
            <v xml:space="preserve"> </v>
          </cell>
        </row>
        <row r="1780">
          <cell r="A1780" t="str">
            <v xml:space="preserve"> </v>
          </cell>
        </row>
        <row r="1781">
          <cell r="A1781" t="str">
            <v xml:space="preserve"> </v>
          </cell>
        </row>
        <row r="1782">
          <cell r="A1782" t="str">
            <v xml:space="preserve"> </v>
          </cell>
        </row>
        <row r="1783">
          <cell r="A1783" t="str">
            <v xml:space="preserve"> </v>
          </cell>
        </row>
        <row r="1784">
          <cell r="A1784" t="str">
            <v xml:space="preserve"> </v>
          </cell>
        </row>
        <row r="1785">
          <cell r="A1785" t="str">
            <v xml:space="preserve"> </v>
          </cell>
        </row>
        <row r="1786">
          <cell r="A1786" t="str">
            <v xml:space="preserve"> </v>
          </cell>
        </row>
        <row r="1787">
          <cell r="A1787" t="str">
            <v xml:space="preserve"> </v>
          </cell>
        </row>
        <row r="1788">
          <cell r="A1788" t="str">
            <v xml:space="preserve"> </v>
          </cell>
        </row>
        <row r="1789">
          <cell r="A1789" t="str">
            <v xml:space="preserve"> </v>
          </cell>
        </row>
        <row r="1790">
          <cell r="A1790" t="str">
            <v xml:space="preserve"> </v>
          </cell>
        </row>
        <row r="1791">
          <cell r="A1791" t="str">
            <v xml:space="preserve"> </v>
          </cell>
        </row>
        <row r="1792">
          <cell r="A1792" t="str">
            <v xml:space="preserve"> </v>
          </cell>
        </row>
        <row r="1793">
          <cell r="A1793" t="str">
            <v xml:space="preserve"> </v>
          </cell>
        </row>
        <row r="1794">
          <cell r="A1794" t="str">
            <v xml:space="preserve"> </v>
          </cell>
        </row>
        <row r="1795">
          <cell r="A1795" t="str">
            <v xml:space="preserve"> </v>
          </cell>
        </row>
        <row r="1796">
          <cell r="A1796" t="str">
            <v xml:space="preserve"> </v>
          </cell>
        </row>
        <row r="1797">
          <cell r="A1797" t="str">
            <v xml:space="preserve"> </v>
          </cell>
        </row>
        <row r="1798">
          <cell r="A1798" t="str">
            <v xml:space="preserve"> </v>
          </cell>
        </row>
        <row r="1799">
          <cell r="A1799" t="str">
            <v xml:space="preserve"> </v>
          </cell>
        </row>
        <row r="1800">
          <cell r="A1800" t="str">
            <v xml:space="preserve"> </v>
          </cell>
        </row>
        <row r="1801">
          <cell r="A1801" t="str">
            <v xml:space="preserve"> </v>
          </cell>
        </row>
        <row r="1802">
          <cell r="A1802" t="str">
            <v xml:space="preserve"> </v>
          </cell>
        </row>
        <row r="1803">
          <cell r="A1803" t="str">
            <v xml:space="preserve"> </v>
          </cell>
        </row>
        <row r="1804">
          <cell r="A1804" t="str">
            <v xml:space="preserve"> </v>
          </cell>
        </row>
        <row r="1805">
          <cell r="A1805" t="str">
            <v xml:space="preserve"> </v>
          </cell>
        </row>
        <row r="1806">
          <cell r="A1806" t="str">
            <v xml:space="preserve"> </v>
          </cell>
        </row>
        <row r="1807">
          <cell r="A1807" t="str">
            <v xml:space="preserve"> </v>
          </cell>
        </row>
        <row r="1808">
          <cell r="A1808" t="str">
            <v xml:space="preserve"> </v>
          </cell>
        </row>
        <row r="1809">
          <cell r="A1809" t="str">
            <v xml:space="preserve"> </v>
          </cell>
        </row>
        <row r="1810">
          <cell r="A1810" t="str">
            <v xml:space="preserve"> </v>
          </cell>
        </row>
        <row r="1811">
          <cell r="A1811" t="str">
            <v xml:space="preserve"> </v>
          </cell>
        </row>
        <row r="1812">
          <cell r="A1812" t="str">
            <v xml:space="preserve"> </v>
          </cell>
        </row>
        <row r="1813">
          <cell r="A1813" t="str">
            <v xml:space="preserve"> </v>
          </cell>
        </row>
        <row r="1814">
          <cell r="A1814" t="str">
            <v xml:space="preserve"> </v>
          </cell>
        </row>
        <row r="1815">
          <cell r="A1815" t="str">
            <v xml:space="preserve"> </v>
          </cell>
        </row>
        <row r="1816">
          <cell r="A1816" t="str">
            <v xml:space="preserve"> </v>
          </cell>
        </row>
        <row r="1817">
          <cell r="A1817" t="str">
            <v xml:space="preserve"> </v>
          </cell>
        </row>
        <row r="1818">
          <cell r="A1818" t="str">
            <v xml:space="preserve"> </v>
          </cell>
        </row>
        <row r="1819">
          <cell r="A1819" t="str">
            <v xml:space="preserve"> </v>
          </cell>
        </row>
        <row r="1820">
          <cell r="A1820" t="str">
            <v xml:space="preserve"> </v>
          </cell>
        </row>
        <row r="1821">
          <cell r="A1821" t="str">
            <v xml:space="preserve"> </v>
          </cell>
        </row>
        <row r="1822">
          <cell r="A1822" t="str">
            <v xml:space="preserve"> </v>
          </cell>
        </row>
        <row r="1823">
          <cell r="A1823" t="str">
            <v xml:space="preserve"> </v>
          </cell>
        </row>
        <row r="1824">
          <cell r="A1824" t="str">
            <v xml:space="preserve"> </v>
          </cell>
        </row>
        <row r="1825">
          <cell r="A1825" t="str">
            <v xml:space="preserve"> </v>
          </cell>
        </row>
        <row r="1826">
          <cell r="A1826" t="str">
            <v xml:space="preserve"> </v>
          </cell>
        </row>
        <row r="1827">
          <cell r="A1827" t="str">
            <v xml:space="preserve"> </v>
          </cell>
        </row>
        <row r="1828">
          <cell r="A1828" t="str">
            <v xml:space="preserve"> </v>
          </cell>
        </row>
        <row r="1829">
          <cell r="A1829" t="str">
            <v xml:space="preserve"> </v>
          </cell>
        </row>
        <row r="1830">
          <cell r="A1830" t="str">
            <v xml:space="preserve"> </v>
          </cell>
        </row>
        <row r="1831">
          <cell r="A1831" t="str">
            <v xml:space="preserve"> </v>
          </cell>
        </row>
        <row r="1832">
          <cell r="A1832" t="str">
            <v xml:space="preserve"> </v>
          </cell>
        </row>
        <row r="1833">
          <cell r="A1833" t="str">
            <v xml:space="preserve"> </v>
          </cell>
        </row>
        <row r="1834">
          <cell r="A1834" t="str">
            <v xml:space="preserve"> </v>
          </cell>
        </row>
        <row r="1835">
          <cell r="A1835" t="str">
            <v xml:space="preserve"> </v>
          </cell>
        </row>
        <row r="1836">
          <cell r="A1836" t="str">
            <v xml:space="preserve"> </v>
          </cell>
        </row>
        <row r="1837">
          <cell r="A1837" t="str">
            <v xml:space="preserve"> </v>
          </cell>
        </row>
        <row r="1838">
          <cell r="A1838" t="str">
            <v xml:space="preserve"> </v>
          </cell>
        </row>
        <row r="1839">
          <cell r="A1839" t="str">
            <v xml:space="preserve"> </v>
          </cell>
        </row>
        <row r="1840">
          <cell r="A1840" t="str">
            <v xml:space="preserve"> </v>
          </cell>
        </row>
        <row r="1841">
          <cell r="A1841" t="str">
            <v xml:space="preserve"> </v>
          </cell>
        </row>
        <row r="1842">
          <cell r="A1842" t="str">
            <v xml:space="preserve"> </v>
          </cell>
        </row>
        <row r="1843">
          <cell r="A1843" t="str">
            <v xml:space="preserve"> </v>
          </cell>
        </row>
        <row r="1844">
          <cell r="A1844" t="str">
            <v xml:space="preserve"> </v>
          </cell>
        </row>
        <row r="1845">
          <cell r="A1845" t="str">
            <v xml:space="preserve"> </v>
          </cell>
        </row>
        <row r="1846">
          <cell r="A1846" t="str">
            <v xml:space="preserve"> </v>
          </cell>
        </row>
        <row r="1847">
          <cell r="A1847" t="str">
            <v xml:space="preserve"> </v>
          </cell>
        </row>
        <row r="1848">
          <cell r="A1848" t="str">
            <v xml:space="preserve"> </v>
          </cell>
        </row>
        <row r="1849">
          <cell r="A1849" t="str">
            <v xml:space="preserve"> </v>
          </cell>
        </row>
        <row r="1850">
          <cell r="A1850" t="str">
            <v xml:space="preserve"> </v>
          </cell>
        </row>
        <row r="1851">
          <cell r="A1851" t="str">
            <v xml:space="preserve"> </v>
          </cell>
        </row>
        <row r="1852">
          <cell r="A1852" t="str">
            <v xml:space="preserve"> </v>
          </cell>
        </row>
        <row r="1853">
          <cell r="A1853" t="str">
            <v xml:space="preserve"> </v>
          </cell>
        </row>
        <row r="1854">
          <cell r="A1854" t="str">
            <v xml:space="preserve"> </v>
          </cell>
        </row>
        <row r="1855">
          <cell r="A1855" t="str">
            <v xml:space="preserve"> </v>
          </cell>
        </row>
        <row r="1856">
          <cell r="A1856" t="str">
            <v xml:space="preserve"> </v>
          </cell>
        </row>
        <row r="1857">
          <cell r="A1857" t="str">
            <v xml:space="preserve"> </v>
          </cell>
        </row>
        <row r="1858">
          <cell r="A1858" t="str">
            <v xml:space="preserve"> </v>
          </cell>
        </row>
        <row r="1859">
          <cell r="A1859" t="str">
            <v xml:space="preserve"> </v>
          </cell>
        </row>
        <row r="1860">
          <cell r="A1860" t="str">
            <v xml:space="preserve"> </v>
          </cell>
        </row>
        <row r="1861">
          <cell r="A1861" t="str">
            <v xml:space="preserve"> </v>
          </cell>
        </row>
        <row r="1862">
          <cell r="A1862" t="str">
            <v xml:space="preserve"> </v>
          </cell>
        </row>
        <row r="1863">
          <cell r="A1863" t="str">
            <v xml:space="preserve"> </v>
          </cell>
        </row>
        <row r="1864">
          <cell r="A1864" t="str">
            <v xml:space="preserve"> </v>
          </cell>
        </row>
        <row r="1865">
          <cell r="A1865" t="str">
            <v xml:space="preserve"> </v>
          </cell>
        </row>
        <row r="1866">
          <cell r="A1866" t="str">
            <v xml:space="preserve"> </v>
          </cell>
        </row>
        <row r="1867">
          <cell r="A1867" t="str">
            <v xml:space="preserve"> </v>
          </cell>
        </row>
        <row r="1868">
          <cell r="A1868" t="str">
            <v xml:space="preserve"> </v>
          </cell>
        </row>
        <row r="1869">
          <cell r="A1869" t="str">
            <v xml:space="preserve"> </v>
          </cell>
        </row>
        <row r="1870">
          <cell r="A1870" t="str">
            <v xml:space="preserve"> </v>
          </cell>
        </row>
        <row r="1871">
          <cell r="A1871" t="str">
            <v xml:space="preserve"> </v>
          </cell>
        </row>
        <row r="1872">
          <cell r="A1872" t="str">
            <v xml:space="preserve"> </v>
          </cell>
        </row>
        <row r="1873">
          <cell r="A1873" t="str">
            <v xml:space="preserve"> </v>
          </cell>
        </row>
        <row r="1874">
          <cell r="A1874" t="str">
            <v xml:space="preserve"> </v>
          </cell>
        </row>
        <row r="1875">
          <cell r="A1875" t="str">
            <v xml:space="preserve"> </v>
          </cell>
        </row>
        <row r="1876">
          <cell r="A1876" t="str">
            <v xml:space="preserve"> </v>
          </cell>
        </row>
        <row r="1877">
          <cell r="A1877" t="str">
            <v xml:space="preserve"> </v>
          </cell>
        </row>
        <row r="1878">
          <cell r="A1878" t="str">
            <v xml:space="preserve"> </v>
          </cell>
        </row>
        <row r="1879">
          <cell r="A1879" t="str">
            <v xml:space="preserve"> </v>
          </cell>
        </row>
        <row r="1880">
          <cell r="A1880" t="str">
            <v xml:space="preserve"> </v>
          </cell>
        </row>
        <row r="1881">
          <cell r="A1881" t="str">
            <v xml:space="preserve"> </v>
          </cell>
        </row>
        <row r="1882">
          <cell r="A1882" t="str">
            <v xml:space="preserve"> </v>
          </cell>
        </row>
        <row r="1883">
          <cell r="A1883" t="str">
            <v xml:space="preserve"> </v>
          </cell>
        </row>
        <row r="1884">
          <cell r="A1884" t="str">
            <v xml:space="preserve"> </v>
          </cell>
        </row>
        <row r="1885">
          <cell r="A1885" t="str">
            <v xml:space="preserve"> </v>
          </cell>
        </row>
        <row r="1886">
          <cell r="A1886" t="str">
            <v xml:space="preserve"> </v>
          </cell>
        </row>
        <row r="1887">
          <cell r="A1887" t="str">
            <v xml:space="preserve"> </v>
          </cell>
        </row>
        <row r="1888">
          <cell r="A1888" t="str">
            <v xml:space="preserve"> </v>
          </cell>
        </row>
        <row r="1889">
          <cell r="A1889" t="str">
            <v xml:space="preserve"> </v>
          </cell>
        </row>
        <row r="1890">
          <cell r="A1890" t="str">
            <v xml:space="preserve"> </v>
          </cell>
        </row>
        <row r="1891">
          <cell r="A1891" t="str">
            <v xml:space="preserve"> </v>
          </cell>
        </row>
        <row r="1892">
          <cell r="A1892" t="str">
            <v xml:space="preserve"> </v>
          </cell>
        </row>
        <row r="1893">
          <cell r="A1893" t="str">
            <v xml:space="preserve"> </v>
          </cell>
        </row>
        <row r="1894">
          <cell r="A1894" t="str">
            <v xml:space="preserve"> </v>
          </cell>
        </row>
        <row r="1895">
          <cell r="A1895" t="str">
            <v xml:space="preserve"> </v>
          </cell>
        </row>
        <row r="1896">
          <cell r="A1896" t="str">
            <v xml:space="preserve"> </v>
          </cell>
        </row>
        <row r="1897">
          <cell r="A1897" t="str">
            <v xml:space="preserve"> </v>
          </cell>
        </row>
        <row r="1898">
          <cell r="A1898" t="str">
            <v xml:space="preserve"> </v>
          </cell>
        </row>
        <row r="1899">
          <cell r="A1899" t="str">
            <v xml:space="preserve"> </v>
          </cell>
        </row>
        <row r="1900">
          <cell r="A1900" t="str">
            <v xml:space="preserve"> </v>
          </cell>
        </row>
        <row r="1901">
          <cell r="A1901" t="str">
            <v xml:space="preserve"> </v>
          </cell>
        </row>
        <row r="1902">
          <cell r="A1902" t="str">
            <v xml:space="preserve"> </v>
          </cell>
        </row>
        <row r="1903">
          <cell r="A1903" t="str">
            <v xml:space="preserve"> </v>
          </cell>
        </row>
        <row r="1904">
          <cell r="A1904" t="str">
            <v xml:space="preserve"> </v>
          </cell>
        </row>
        <row r="1905">
          <cell r="A1905" t="str">
            <v xml:space="preserve"> </v>
          </cell>
        </row>
        <row r="1906">
          <cell r="A1906" t="str">
            <v xml:space="preserve"> </v>
          </cell>
        </row>
        <row r="1907">
          <cell r="A1907" t="str">
            <v xml:space="preserve"> </v>
          </cell>
        </row>
        <row r="1908">
          <cell r="A1908" t="str">
            <v xml:space="preserve"> </v>
          </cell>
        </row>
        <row r="1909">
          <cell r="A1909" t="str">
            <v xml:space="preserve"> </v>
          </cell>
        </row>
        <row r="1910">
          <cell r="A1910" t="str">
            <v xml:space="preserve"> </v>
          </cell>
        </row>
        <row r="1911">
          <cell r="A1911" t="str">
            <v xml:space="preserve"> </v>
          </cell>
        </row>
        <row r="1912">
          <cell r="A1912" t="str">
            <v xml:space="preserve"> </v>
          </cell>
        </row>
        <row r="1913">
          <cell r="A1913" t="str">
            <v xml:space="preserve"> </v>
          </cell>
        </row>
        <row r="1914">
          <cell r="A1914" t="str">
            <v xml:space="preserve"> </v>
          </cell>
        </row>
        <row r="1915">
          <cell r="A1915" t="str">
            <v xml:space="preserve"> </v>
          </cell>
        </row>
        <row r="1916">
          <cell r="A1916" t="str">
            <v xml:space="preserve"> </v>
          </cell>
        </row>
        <row r="1917">
          <cell r="A1917" t="str">
            <v xml:space="preserve"> </v>
          </cell>
        </row>
        <row r="1918">
          <cell r="A1918" t="str">
            <v xml:space="preserve"> </v>
          </cell>
        </row>
        <row r="1919">
          <cell r="A1919" t="str">
            <v xml:space="preserve"> </v>
          </cell>
        </row>
        <row r="1920">
          <cell r="A1920" t="str">
            <v xml:space="preserve"> </v>
          </cell>
        </row>
        <row r="1921">
          <cell r="A1921" t="str">
            <v xml:space="preserve"> </v>
          </cell>
        </row>
        <row r="1922">
          <cell r="A1922" t="str">
            <v xml:space="preserve"> </v>
          </cell>
        </row>
        <row r="1923">
          <cell r="A1923" t="str">
            <v xml:space="preserve"> </v>
          </cell>
        </row>
        <row r="1924">
          <cell r="A1924" t="str">
            <v xml:space="preserve"> </v>
          </cell>
        </row>
        <row r="1925">
          <cell r="A1925" t="str">
            <v xml:space="preserve"> </v>
          </cell>
        </row>
        <row r="1926">
          <cell r="A1926" t="str">
            <v xml:space="preserve"> </v>
          </cell>
        </row>
        <row r="1927">
          <cell r="A1927" t="str">
            <v xml:space="preserve"> </v>
          </cell>
        </row>
        <row r="1928">
          <cell r="A1928" t="str">
            <v xml:space="preserve"> </v>
          </cell>
        </row>
        <row r="1929">
          <cell r="A1929" t="str">
            <v xml:space="preserve"> </v>
          </cell>
        </row>
        <row r="1930">
          <cell r="A1930" t="str">
            <v xml:space="preserve"> </v>
          </cell>
        </row>
        <row r="1931">
          <cell r="A1931" t="str">
            <v xml:space="preserve"> </v>
          </cell>
        </row>
        <row r="1932">
          <cell r="A1932" t="str">
            <v xml:space="preserve"> </v>
          </cell>
        </row>
        <row r="1933">
          <cell r="A1933" t="str">
            <v xml:space="preserve"> </v>
          </cell>
        </row>
        <row r="1934">
          <cell r="A1934" t="str">
            <v xml:space="preserve"> </v>
          </cell>
        </row>
        <row r="1935">
          <cell r="A1935" t="str">
            <v xml:space="preserve"> </v>
          </cell>
        </row>
        <row r="1936">
          <cell r="A1936" t="str">
            <v xml:space="preserve"> </v>
          </cell>
        </row>
        <row r="1937">
          <cell r="A1937" t="str">
            <v xml:space="preserve"> </v>
          </cell>
        </row>
        <row r="1938">
          <cell r="A1938" t="str">
            <v xml:space="preserve"> </v>
          </cell>
        </row>
        <row r="1939">
          <cell r="A1939" t="str">
            <v xml:space="preserve"> </v>
          </cell>
        </row>
        <row r="1940">
          <cell r="A1940" t="str">
            <v xml:space="preserve"> </v>
          </cell>
        </row>
        <row r="1941">
          <cell r="A1941" t="str">
            <v xml:space="preserve"> </v>
          </cell>
        </row>
        <row r="1942">
          <cell r="A1942" t="str">
            <v xml:space="preserve"> </v>
          </cell>
        </row>
        <row r="1943">
          <cell r="A1943" t="str">
            <v xml:space="preserve"> </v>
          </cell>
        </row>
        <row r="1944">
          <cell r="A1944" t="str">
            <v xml:space="preserve"> </v>
          </cell>
        </row>
        <row r="1945">
          <cell r="A1945" t="str">
            <v xml:space="preserve"> </v>
          </cell>
        </row>
        <row r="1946">
          <cell r="A1946" t="str">
            <v xml:space="preserve"> </v>
          </cell>
        </row>
        <row r="1947">
          <cell r="A1947" t="str">
            <v xml:space="preserve"> </v>
          </cell>
        </row>
        <row r="1948">
          <cell r="A1948" t="str">
            <v xml:space="preserve"> </v>
          </cell>
        </row>
        <row r="1949">
          <cell r="A1949" t="str">
            <v xml:space="preserve"> </v>
          </cell>
        </row>
        <row r="1950">
          <cell r="A1950" t="str">
            <v xml:space="preserve"> </v>
          </cell>
        </row>
        <row r="1951">
          <cell r="A1951" t="str">
            <v xml:space="preserve"> </v>
          </cell>
        </row>
        <row r="1952">
          <cell r="A1952" t="str">
            <v xml:space="preserve"> </v>
          </cell>
        </row>
        <row r="1953">
          <cell r="A1953" t="str">
            <v xml:space="preserve"> </v>
          </cell>
        </row>
        <row r="1954">
          <cell r="A1954" t="str">
            <v xml:space="preserve"> </v>
          </cell>
        </row>
        <row r="1955">
          <cell r="A1955" t="str">
            <v xml:space="preserve"> </v>
          </cell>
        </row>
        <row r="1956">
          <cell r="A1956" t="str">
            <v xml:space="preserve"> </v>
          </cell>
        </row>
        <row r="1957">
          <cell r="A1957" t="str">
            <v xml:space="preserve"> </v>
          </cell>
        </row>
        <row r="1958">
          <cell r="A1958" t="str">
            <v xml:space="preserve"> </v>
          </cell>
        </row>
        <row r="1959">
          <cell r="A1959" t="str">
            <v xml:space="preserve"> </v>
          </cell>
        </row>
        <row r="1960">
          <cell r="A1960" t="str">
            <v xml:space="preserve"> </v>
          </cell>
        </row>
        <row r="1961">
          <cell r="A1961" t="str">
            <v xml:space="preserve"> </v>
          </cell>
        </row>
        <row r="1962">
          <cell r="A1962" t="str">
            <v xml:space="preserve"> </v>
          </cell>
        </row>
        <row r="1963">
          <cell r="A1963" t="str">
            <v xml:space="preserve"> </v>
          </cell>
        </row>
        <row r="1964">
          <cell r="A1964" t="str">
            <v xml:space="preserve"> </v>
          </cell>
        </row>
        <row r="1965">
          <cell r="A1965" t="str">
            <v xml:space="preserve"> </v>
          </cell>
        </row>
        <row r="1966">
          <cell r="A1966" t="str">
            <v xml:space="preserve"> </v>
          </cell>
        </row>
        <row r="1967">
          <cell r="A1967" t="str">
            <v xml:space="preserve"> </v>
          </cell>
        </row>
        <row r="1968">
          <cell r="A1968" t="str">
            <v xml:space="preserve"> </v>
          </cell>
        </row>
        <row r="1969">
          <cell r="A1969" t="str">
            <v xml:space="preserve"> </v>
          </cell>
        </row>
        <row r="1970">
          <cell r="A1970" t="str">
            <v xml:space="preserve"> </v>
          </cell>
        </row>
        <row r="1971">
          <cell r="A1971" t="str">
            <v xml:space="preserve"> </v>
          </cell>
        </row>
        <row r="1972">
          <cell r="A1972" t="str">
            <v xml:space="preserve"> </v>
          </cell>
        </row>
        <row r="1973">
          <cell r="A1973" t="str">
            <v xml:space="preserve"> </v>
          </cell>
        </row>
        <row r="1974">
          <cell r="A1974" t="str">
            <v xml:space="preserve"> </v>
          </cell>
        </row>
        <row r="1975">
          <cell r="A1975" t="str">
            <v xml:space="preserve"> </v>
          </cell>
        </row>
        <row r="1976">
          <cell r="A1976" t="str">
            <v xml:space="preserve"> </v>
          </cell>
        </row>
        <row r="1977">
          <cell r="A1977" t="str">
            <v xml:space="preserve"> </v>
          </cell>
        </row>
        <row r="1978">
          <cell r="A1978" t="str">
            <v xml:space="preserve"> </v>
          </cell>
        </row>
        <row r="1979">
          <cell r="A1979" t="str">
            <v xml:space="preserve"> </v>
          </cell>
        </row>
        <row r="1980">
          <cell r="A1980" t="str">
            <v xml:space="preserve"> </v>
          </cell>
        </row>
        <row r="1981">
          <cell r="A1981" t="str">
            <v xml:space="preserve"> </v>
          </cell>
        </row>
        <row r="1982">
          <cell r="A1982" t="str">
            <v xml:space="preserve"> </v>
          </cell>
        </row>
        <row r="1983">
          <cell r="A1983" t="str">
            <v xml:space="preserve"> </v>
          </cell>
        </row>
        <row r="1984">
          <cell r="A1984" t="str">
            <v xml:space="preserve"> </v>
          </cell>
        </row>
        <row r="1985">
          <cell r="A1985" t="str">
            <v xml:space="preserve"> </v>
          </cell>
        </row>
        <row r="1986">
          <cell r="A1986" t="str">
            <v xml:space="preserve"> </v>
          </cell>
        </row>
        <row r="1987">
          <cell r="A1987" t="str">
            <v xml:space="preserve"> </v>
          </cell>
        </row>
        <row r="1988">
          <cell r="A1988" t="str">
            <v xml:space="preserve"> </v>
          </cell>
        </row>
        <row r="1989">
          <cell r="A1989" t="str">
            <v xml:space="preserve"> </v>
          </cell>
        </row>
        <row r="1990">
          <cell r="A1990" t="str">
            <v xml:space="preserve"> </v>
          </cell>
        </row>
        <row r="1991">
          <cell r="A1991" t="str">
            <v xml:space="preserve"> </v>
          </cell>
        </row>
        <row r="1992">
          <cell r="A1992" t="str">
            <v xml:space="preserve"> </v>
          </cell>
        </row>
        <row r="1993">
          <cell r="A1993" t="str">
            <v xml:space="preserve"> </v>
          </cell>
        </row>
        <row r="1994">
          <cell r="A1994" t="str">
            <v xml:space="preserve"> </v>
          </cell>
        </row>
        <row r="1995">
          <cell r="A1995" t="str">
            <v xml:space="preserve"> </v>
          </cell>
        </row>
        <row r="1996">
          <cell r="A1996" t="str">
            <v xml:space="preserve"> </v>
          </cell>
        </row>
        <row r="1997">
          <cell r="A1997" t="str">
            <v xml:space="preserve"> </v>
          </cell>
        </row>
        <row r="1998">
          <cell r="A1998" t="str">
            <v xml:space="preserve"> </v>
          </cell>
        </row>
        <row r="1999">
          <cell r="A1999" t="str">
            <v xml:space="preserve"> </v>
          </cell>
        </row>
        <row r="2000">
          <cell r="A2000" t="str">
            <v xml:space="preserve"> </v>
          </cell>
        </row>
        <row r="2001">
          <cell r="A2001" t="str">
            <v xml:space="preserve"> </v>
          </cell>
        </row>
        <row r="2002">
          <cell r="A2002" t="str">
            <v xml:space="preserve"> </v>
          </cell>
        </row>
        <row r="2003">
          <cell r="A2003" t="str">
            <v xml:space="preserve"> </v>
          </cell>
        </row>
        <row r="2004">
          <cell r="A2004" t="str">
            <v xml:space="preserve"> </v>
          </cell>
        </row>
        <row r="2005">
          <cell r="A2005" t="str">
            <v xml:space="preserve"> </v>
          </cell>
        </row>
        <row r="2006">
          <cell r="A2006" t="str">
            <v xml:space="preserve"> </v>
          </cell>
        </row>
        <row r="2007">
          <cell r="A2007" t="str">
            <v xml:space="preserve"> </v>
          </cell>
        </row>
        <row r="2008">
          <cell r="A2008" t="str">
            <v xml:space="preserve"> </v>
          </cell>
        </row>
        <row r="2009">
          <cell r="A2009" t="str">
            <v xml:space="preserve"> </v>
          </cell>
        </row>
        <row r="2010">
          <cell r="A2010" t="str">
            <v xml:space="preserve"> </v>
          </cell>
        </row>
        <row r="2011">
          <cell r="A2011" t="str">
            <v xml:space="preserve"> </v>
          </cell>
        </row>
        <row r="2012">
          <cell r="A2012" t="str">
            <v xml:space="preserve"> </v>
          </cell>
        </row>
        <row r="2013">
          <cell r="A2013" t="str">
            <v xml:space="preserve"> </v>
          </cell>
        </row>
        <row r="2014">
          <cell r="A2014" t="str">
            <v xml:space="preserve"> </v>
          </cell>
        </row>
        <row r="2015">
          <cell r="A2015" t="str">
            <v xml:space="preserve"> </v>
          </cell>
        </row>
        <row r="2016">
          <cell r="A2016" t="str">
            <v xml:space="preserve"> </v>
          </cell>
        </row>
        <row r="2017">
          <cell r="A2017" t="str">
            <v xml:space="preserve"> </v>
          </cell>
        </row>
        <row r="2018">
          <cell r="A2018" t="str">
            <v xml:space="preserve"> </v>
          </cell>
        </row>
        <row r="2019">
          <cell r="A2019" t="str">
            <v xml:space="preserve"> </v>
          </cell>
        </row>
        <row r="2020">
          <cell r="A2020" t="str">
            <v xml:space="preserve"> </v>
          </cell>
        </row>
        <row r="2021">
          <cell r="A2021" t="str">
            <v xml:space="preserve"> </v>
          </cell>
        </row>
        <row r="2022">
          <cell r="A2022" t="str">
            <v xml:space="preserve"> </v>
          </cell>
        </row>
        <row r="2023">
          <cell r="A2023" t="str">
            <v xml:space="preserve"> </v>
          </cell>
        </row>
        <row r="2024">
          <cell r="A2024" t="str">
            <v xml:space="preserve"> </v>
          </cell>
        </row>
        <row r="2025">
          <cell r="A2025" t="str">
            <v xml:space="preserve"> </v>
          </cell>
        </row>
        <row r="2026">
          <cell r="A2026" t="str">
            <v xml:space="preserve"> </v>
          </cell>
        </row>
        <row r="2027">
          <cell r="A2027" t="str">
            <v xml:space="preserve"> </v>
          </cell>
        </row>
        <row r="2028">
          <cell r="A2028" t="str">
            <v xml:space="preserve"> </v>
          </cell>
        </row>
        <row r="2029">
          <cell r="A2029" t="str">
            <v xml:space="preserve"> </v>
          </cell>
        </row>
        <row r="2030">
          <cell r="A2030" t="str">
            <v xml:space="preserve"> </v>
          </cell>
        </row>
        <row r="2031">
          <cell r="A2031" t="str">
            <v xml:space="preserve"> </v>
          </cell>
        </row>
        <row r="2032">
          <cell r="A2032" t="str">
            <v xml:space="preserve"> </v>
          </cell>
        </row>
        <row r="2033">
          <cell r="A2033" t="str">
            <v xml:space="preserve"> </v>
          </cell>
        </row>
        <row r="2034">
          <cell r="A2034" t="str">
            <v xml:space="preserve"> </v>
          </cell>
        </row>
        <row r="2035">
          <cell r="A2035" t="str">
            <v xml:space="preserve"> </v>
          </cell>
        </row>
        <row r="2036">
          <cell r="A2036" t="str">
            <v xml:space="preserve"> </v>
          </cell>
        </row>
        <row r="2037">
          <cell r="A2037" t="str">
            <v xml:space="preserve"> </v>
          </cell>
        </row>
        <row r="2038">
          <cell r="A2038" t="str">
            <v xml:space="preserve"> </v>
          </cell>
        </row>
        <row r="2039">
          <cell r="A2039" t="str">
            <v xml:space="preserve"> </v>
          </cell>
        </row>
        <row r="2040">
          <cell r="A2040" t="str">
            <v xml:space="preserve"> </v>
          </cell>
        </row>
        <row r="2041">
          <cell r="A2041" t="str">
            <v xml:space="preserve"> </v>
          </cell>
        </row>
        <row r="2042">
          <cell r="A2042" t="str">
            <v xml:space="preserve"> </v>
          </cell>
        </row>
        <row r="2043">
          <cell r="A2043" t="str">
            <v xml:space="preserve"> </v>
          </cell>
        </row>
        <row r="2044">
          <cell r="A2044" t="str">
            <v xml:space="preserve"> </v>
          </cell>
        </row>
        <row r="2045">
          <cell r="A2045" t="str">
            <v xml:space="preserve"> </v>
          </cell>
        </row>
        <row r="2046">
          <cell r="A2046" t="str">
            <v xml:space="preserve"> </v>
          </cell>
        </row>
        <row r="2047">
          <cell r="A2047" t="str">
            <v xml:space="preserve"> </v>
          </cell>
        </row>
        <row r="2048">
          <cell r="A2048" t="str">
            <v xml:space="preserve"> </v>
          </cell>
        </row>
        <row r="2049">
          <cell r="A2049" t="str">
            <v xml:space="preserve"> </v>
          </cell>
        </row>
        <row r="2050">
          <cell r="A2050" t="str">
            <v xml:space="preserve"> </v>
          </cell>
        </row>
        <row r="2051">
          <cell r="A2051" t="str">
            <v xml:space="preserve"> </v>
          </cell>
        </row>
        <row r="2052">
          <cell r="A2052" t="str">
            <v xml:space="preserve"> </v>
          </cell>
        </row>
        <row r="2053">
          <cell r="A2053" t="str">
            <v xml:space="preserve"> </v>
          </cell>
        </row>
        <row r="2054">
          <cell r="A2054" t="str">
            <v xml:space="preserve"> </v>
          </cell>
        </row>
        <row r="2055">
          <cell r="A2055" t="str">
            <v xml:space="preserve"> </v>
          </cell>
        </row>
        <row r="2056">
          <cell r="A2056" t="str">
            <v xml:space="preserve"> </v>
          </cell>
        </row>
        <row r="2057">
          <cell r="A2057" t="str">
            <v xml:space="preserve"> </v>
          </cell>
        </row>
        <row r="2058">
          <cell r="A2058" t="str">
            <v xml:space="preserve"> </v>
          </cell>
        </row>
        <row r="2059">
          <cell r="A2059" t="str">
            <v xml:space="preserve"> </v>
          </cell>
        </row>
        <row r="2060">
          <cell r="A2060" t="str">
            <v xml:space="preserve"> </v>
          </cell>
        </row>
        <row r="2061">
          <cell r="A2061" t="str">
            <v xml:space="preserve"> </v>
          </cell>
        </row>
        <row r="2062">
          <cell r="A2062" t="str">
            <v xml:space="preserve"> </v>
          </cell>
        </row>
        <row r="2063">
          <cell r="A2063" t="str">
            <v xml:space="preserve"> </v>
          </cell>
        </row>
        <row r="2064">
          <cell r="A2064" t="str">
            <v xml:space="preserve"> </v>
          </cell>
        </row>
        <row r="2065">
          <cell r="A2065" t="str">
            <v xml:space="preserve"> </v>
          </cell>
        </row>
        <row r="2066">
          <cell r="A2066" t="str">
            <v xml:space="preserve"> </v>
          </cell>
        </row>
        <row r="2067">
          <cell r="A2067" t="str">
            <v xml:space="preserve"> </v>
          </cell>
        </row>
        <row r="2068">
          <cell r="A2068" t="str">
            <v xml:space="preserve"> </v>
          </cell>
        </row>
        <row r="2069">
          <cell r="A2069" t="str">
            <v xml:space="preserve"> </v>
          </cell>
        </row>
        <row r="2070">
          <cell r="A2070" t="str">
            <v xml:space="preserve"> </v>
          </cell>
        </row>
        <row r="2071">
          <cell r="A2071" t="str">
            <v xml:space="preserve"> </v>
          </cell>
        </row>
        <row r="2072">
          <cell r="A2072" t="str">
            <v xml:space="preserve"> </v>
          </cell>
        </row>
        <row r="2073">
          <cell r="A2073" t="str">
            <v xml:space="preserve"> </v>
          </cell>
        </row>
        <row r="2074">
          <cell r="A2074" t="str">
            <v xml:space="preserve"> </v>
          </cell>
        </row>
        <row r="2075">
          <cell r="A2075" t="str">
            <v xml:space="preserve"> </v>
          </cell>
        </row>
        <row r="2076">
          <cell r="A2076" t="str">
            <v xml:space="preserve"> </v>
          </cell>
        </row>
        <row r="2077">
          <cell r="A2077" t="str">
            <v xml:space="preserve"> </v>
          </cell>
        </row>
        <row r="2078">
          <cell r="A2078" t="str">
            <v xml:space="preserve"> </v>
          </cell>
        </row>
        <row r="2079">
          <cell r="A2079" t="str">
            <v xml:space="preserve"> </v>
          </cell>
        </row>
        <row r="2080">
          <cell r="A2080" t="str">
            <v xml:space="preserve"> </v>
          </cell>
        </row>
        <row r="2081">
          <cell r="A2081" t="str">
            <v xml:space="preserve"> </v>
          </cell>
        </row>
        <row r="2082">
          <cell r="A2082" t="str">
            <v xml:space="preserve"> </v>
          </cell>
        </row>
        <row r="2083">
          <cell r="A2083" t="str">
            <v xml:space="preserve"> </v>
          </cell>
        </row>
        <row r="2084">
          <cell r="A2084" t="str">
            <v xml:space="preserve"> </v>
          </cell>
        </row>
        <row r="2085">
          <cell r="A2085" t="str">
            <v xml:space="preserve"> </v>
          </cell>
        </row>
        <row r="2086">
          <cell r="A2086" t="str">
            <v xml:space="preserve"> </v>
          </cell>
        </row>
        <row r="2087">
          <cell r="A2087" t="str">
            <v xml:space="preserve"> </v>
          </cell>
        </row>
        <row r="2088">
          <cell r="A2088" t="str">
            <v xml:space="preserve"> </v>
          </cell>
        </row>
        <row r="2089">
          <cell r="A2089" t="str">
            <v xml:space="preserve"> </v>
          </cell>
        </row>
        <row r="2090">
          <cell r="A2090" t="str">
            <v xml:space="preserve"> </v>
          </cell>
        </row>
        <row r="2091">
          <cell r="A2091" t="str">
            <v xml:space="preserve"> </v>
          </cell>
        </row>
        <row r="2092">
          <cell r="A2092" t="str">
            <v xml:space="preserve"> </v>
          </cell>
        </row>
        <row r="2093">
          <cell r="A2093" t="str">
            <v xml:space="preserve"> </v>
          </cell>
        </row>
        <row r="2094">
          <cell r="A2094" t="str">
            <v xml:space="preserve"> </v>
          </cell>
        </row>
        <row r="2095">
          <cell r="A2095" t="str">
            <v xml:space="preserve"> </v>
          </cell>
        </row>
        <row r="2096">
          <cell r="A2096" t="str">
            <v xml:space="preserve"> </v>
          </cell>
        </row>
        <row r="2097">
          <cell r="A2097" t="str">
            <v xml:space="preserve"> </v>
          </cell>
        </row>
        <row r="2098">
          <cell r="A2098" t="str">
            <v xml:space="preserve"> </v>
          </cell>
        </row>
        <row r="2099">
          <cell r="A2099" t="str">
            <v xml:space="preserve"> </v>
          </cell>
        </row>
        <row r="2100">
          <cell r="A2100" t="str">
            <v xml:space="preserve"> </v>
          </cell>
        </row>
        <row r="2101">
          <cell r="A2101" t="str">
            <v xml:space="preserve"> </v>
          </cell>
        </row>
        <row r="2102">
          <cell r="A2102" t="str">
            <v xml:space="preserve"> </v>
          </cell>
        </row>
        <row r="2103">
          <cell r="A2103" t="str">
            <v xml:space="preserve"> </v>
          </cell>
        </row>
        <row r="2104">
          <cell r="A2104" t="str">
            <v xml:space="preserve"> </v>
          </cell>
        </row>
        <row r="2105">
          <cell r="A2105" t="str">
            <v xml:space="preserve"> </v>
          </cell>
        </row>
        <row r="2106">
          <cell r="A2106" t="str">
            <v xml:space="preserve"> </v>
          </cell>
        </row>
        <row r="2107">
          <cell r="A2107" t="str">
            <v xml:space="preserve"> </v>
          </cell>
        </row>
        <row r="2108">
          <cell r="A2108" t="str">
            <v xml:space="preserve"> </v>
          </cell>
        </row>
        <row r="2109">
          <cell r="A2109" t="str">
            <v xml:space="preserve"> </v>
          </cell>
        </row>
        <row r="2110">
          <cell r="A2110" t="str">
            <v xml:space="preserve"> </v>
          </cell>
        </row>
        <row r="2111">
          <cell r="A2111" t="str">
            <v xml:space="preserve"> </v>
          </cell>
        </row>
        <row r="2112">
          <cell r="A2112" t="str">
            <v xml:space="preserve"> </v>
          </cell>
        </row>
        <row r="2113">
          <cell r="A2113" t="str">
            <v xml:space="preserve"> </v>
          </cell>
        </row>
        <row r="2114">
          <cell r="A2114" t="str">
            <v xml:space="preserve"> </v>
          </cell>
        </row>
        <row r="2115">
          <cell r="A2115" t="str">
            <v xml:space="preserve"> </v>
          </cell>
        </row>
        <row r="2116">
          <cell r="A2116" t="str">
            <v xml:space="preserve"> </v>
          </cell>
        </row>
        <row r="2117">
          <cell r="A2117" t="str">
            <v xml:space="preserve"> </v>
          </cell>
        </row>
        <row r="2118">
          <cell r="A2118" t="str">
            <v xml:space="preserve"> </v>
          </cell>
        </row>
        <row r="2119">
          <cell r="A2119" t="str">
            <v xml:space="preserve"> </v>
          </cell>
        </row>
        <row r="2120">
          <cell r="A2120" t="str">
            <v xml:space="preserve"> </v>
          </cell>
        </row>
        <row r="2121">
          <cell r="A2121" t="str">
            <v xml:space="preserve"> </v>
          </cell>
        </row>
        <row r="2122">
          <cell r="A2122" t="str">
            <v xml:space="preserve"> </v>
          </cell>
        </row>
        <row r="2123">
          <cell r="A2123" t="str">
            <v xml:space="preserve"> </v>
          </cell>
        </row>
        <row r="2124">
          <cell r="A2124" t="str">
            <v xml:space="preserve"> </v>
          </cell>
        </row>
        <row r="2125">
          <cell r="A2125" t="str">
            <v xml:space="preserve"> </v>
          </cell>
        </row>
        <row r="2126">
          <cell r="A2126" t="str">
            <v xml:space="preserve"> </v>
          </cell>
        </row>
        <row r="2127">
          <cell r="A2127" t="str">
            <v xml:space="preserve"> </v>
          </cell>
        </row>
        <row r="2128">
          <cell r="A2128" t="str">
            <v xml:space="preserve"> </v>
          </cell>
        </row>
        <row r="2129">
          <cell r="A2129" t="str">
            <v xml:space="preserve"> </v>
          </cell>
        </row>
        <row r="2130">
          <cell r="A2130" t="str">
            <v xml:space="preserve"> </v>
          </cell>
        </row>
        <row r="2131">
          <cell r="A2131" t="str">
            <v xml:space="preserve"> </v>
          </cell>
        </row>
        <row r="2132">
          <cell r="A2132" t="str">
            <v xml:space="preserve"> </v>
          </cell>
        </row>
        <row r="2133">
          <cell r="A2133" t="str">
            <v xml:space="preserve"> </v>
          </cell>
        </row>
        <row r="2134">
          <cell r="A2134" t="str">
            <v xml:space="preserve"> </v>
          </cell>
        </row>
        <row r="2135">
          <cell r="A2135" t="str">
            <v xml:space="preserve"> </v>
          </cell>
        </row>
        <row r="2136">
          <cell r="A2136" t="str">
            <v xml:space="preserve"> </v>
          </cell>
        </row>
        <row r="2137">
          <cell r="A2137" t="str">
            <v xml:space="preserve"> </v>
          </cell>
        </row>
        <row r="2138">
          <cell r="A2138" t="str">
            <v xml:space="preserve"> </v>
          </cell>
        </row>
        <row r="2139">
          <cell r="A2139" t="str">
            <v xml:space="preserve"> </v>
          </cell>
        </row>
        <row r="2140">
          <cell r="A2140" t="str">
            <v xml:space="preserve"> </v>
          </cell>
        </row>
        <row r="2141">
          <cell r="A2141" t="str">
            <v xml:space="preserve"> </v>
          </cell>
        </row>
        <row r="2142">
          <cell r="A2142" t="str">
            <v xml:space="preserve"> </v>
          </cell>
        </row>
        <row r="2143">
          <cell r="A2143" t="str">
            <v xml:space="preserve"> </v>
          </cell>
        </row>
        <row r="2144">
          <cell r="A2144" t="str">
            <v xml:space="preserve"> </v>
          </cell>
        </row>
        <row r="2145">
          <cell r="A2145" t="str">
            <v xml:space="preserve"> </v>
          </cell>
        </row>
        <row r="2146">
          <cell r="A2146" t="str">
            <v xml:space="preserve"> </v>
          </cell>
        </row>
        <row r="2147">
          <cell r="A2147" t="str">
            <v xml:space="preserve"> </v>
          </cell>
        </row>
        <row r="2148">
          <cell r="A2148" t="str">
            <v xml:space="preserve"> </v>
          </cell>
        </row>
        <row r="2149">
          <cell r="A2149" t="str">
            <v xml:space="preserve"> </v>
          </cell>
        </row>
        <row r="2150">
          <cell r="A2150" t="str">
            <v xml:space="preserve"> </v>
          </cell>
        </row>
        <row r="2151">
          <cell r="A2151" t="str">
            <v xml:space="preserve"> </v>
          </cell>
        </row>
        <row r="2152">
          <cell r="A2152" t="str">
            <v xml:space="preserve"> </v>
          </cell>
        </row>
        <row r="2153">
          <cell r="A2153" t="str">
            <v xml:space="preserve"> </v>
          </cell>
        </row>
        <row r="2154">
          <cell r="A2154" t="str">
            <v xml:space="preserve"> </v>
          </cell>
        </row>
        <row r="2155">
          <cell r="A2155" t="str">
            <v xml:space="preserve"> </v>
          </cell>
        </row>
        <row r="2156">
          <cell r="A2156" t="str">
            <v xml:space="preserve"> </v>
          </cell>
        </row>
        <row r="2157">
          <cell r="A2157" t="str">
            <v xml:space="preserve"> </v>
          </cell>
        </row>
        <row r="2158">
          <cell r="A2158" t="str">
            <v xml:space="preserve"> </v>
          </cell>
        </row>
        <row r="2159">
          <cell r="A2159" t="str">
            <v xml:space="preserve"> </v>
          </cell>
        </row>
        <row r="2160">
          <cell r="A2160" t="str">
            <v xml:space="preserve"> </v>
          </cell>
        </row>
        <row r="2161">
          <cell r="A2161" t="str">
            <v xml:space="preserve"> </v>
          </cell>
        </row>
        <row r="2162">
          <cell r="A2162" t="str">
            <v xml:space="preserve"> </v>
          </cell>
        </row>
        <row r="2163">
          <cell r="A2163" t="str">
            <v xml:space="preserve"> </v>
          </cell>
        </row>
        <row r="2164">
          <cell r="A2164" t="str">
            <v xml:space="preserve"> </v>
          </cell>
        </row>
        <row r="2165">
          <cell r="A2165" t="str">
            <v xml:space="preserve"> </v>
          </cell>
        </row>
        <row r="2166">
          <cell r="A2166" t="str">
            <v xml:space="preserve"> </v>
          </cell>
        </row>
        <row r="2167">
          <cell r="A2167" t="str">
            <v xml:space="preserve"> </v>
          </cell>
        </row>
        <row r="2168">
          <cell r="A2168" t="str">
            <v xml:space="preserve"> </v>
          </cell>
        </row>
        <row r="2169">
          <cell r="A2169" t="str">
            <v xml:space="preserve"> </v>
          </cell>
        </row>
        <row r="2170">
          <cell r="A2170" t="str">
            <v xml:space="preserve"> </v>
          </cell>
        </row>
        <row r="2171">
          <cell r="A2171" t="str">
            <v xml:space="preserve"> </v>
          </cell>
        </row>
        <row r="2172">
          <cell r="A2172" t="str">
            <v xml:space="preserve"> </v>
          </cell>
        </row>
        <row r="2173">
          <cell r="A2173" t="str">
            <v xml:space="preserve"> </v>
          </cell>
        </row>
        <row r="2174">
          <cell r="A2174" t="str">
            <v xml:space="preserve"> </v>
          </cell>
        </row>
        <row r="2175">
          <cell r="A2175" t="str">
            <v xml:space="preserve"> </v>
          </cell>
        </row>
        <row r="2176">
          <cell r="A2176" t="str">
            <v xml:space="preserve"> </v>
          </cell>
        </row>
        <row r="2177">
          <cell r="A2177" t="str">
            <v xml:space="preserve"> </v>
          </cell>
        </row>
        <row r="2178">
          <cell r="A2178" t="str">
            <v xml:space="preserve"> </v>
          </cell>
        </row>
        <row r="2179">
          <cell r="A2179" t="str">
            <v xml:space="preserve"> </v>
          </cell>
        </row>
        <row r="2180">
          <cell r="A2180" t="str">
            <v xml:space="preserve"> </v>
          </cell>
        </row>
        <row r="2181">
          <cell r="A2181" t="str">
            <v xml:space="preserve"> </v>
          </cell>
        </row>
        <row r="2182">
          <cell r="A2182" t="str">
            <v xml:space="preserve"> </v>
          </cell>
        </row>
        <row r="2183">
          <cell r="A2183" t="str">
            <v xml:space="preserve"> </v>
          </cell>
        </row>
        <row r="2184">
          <cell r="A2184" t="str">
            <v xml:space="preserve"> </v>
          </cell>
        </row>
        <row r="2185">
          <cell r="A2185" t="str">
            <v xml:space="preserve"> </v>
          </cell>
        </row>
        <row r="2186">
          <cell r="A2186" t="str">
            <v xml:space="preserve"> </v>
          </cell>
        </row>
        <row r="2187">
          <cell r="A2187" t="str">
            <v xml:space="preserve"> </v>
          </cell>
        </row>
        <row r="2188">
          <cell r="A2188" t="str">
            <v xml:space="preserve"> </v>
          </cell>
        </row>
        <row r="2189">
          <cell r="A2189" t="str">
            <v xml:space="preserve"> </v>
          </cell>
        </row>
        <row r="2190">
          <cell r="A2190" t="str">
            <v xml:space="preserve"> </v>
          </cell>
        </row>
        <row r="2191">
          <cell r="A2191" t="str">
            <v xml:space="preserve"> </v>
          </cell>
        </row>
        <row r="2192">
          <cell r="A2192" t="str">
            <v xml:space="preserve"> </v>
          </cell>
        </row>
        <row r="2193">
          <cell r="A2193" t="str">
            <v xml:space="preserve"> </v>
          </cell>
        </row>
        <row r="2194">
          <cell r="A2194" t="str">
            <v xml:space="preserve"> </v>
          </cell>
        </row>
        <row r="2195">
          <cell r="A2195" t="str">
            <v xml:space="preserve"> </v>
          </cell>
        </row>
        <row r="2196">
          <cell r="A2196" t="str">
            <v xml:space="preserve"> </v>
          </cell>
        </row>
        <row r="2197">
          <cell r="A2197" t="str">
            <v xml:space="preserve"> </v>
          </cell>
        </row>
        <row r="2198">
          <cell r="A2198" t="str">
            <v xml:space="preserve"> </v>
          </cell>
        </row>
        <row r="2199">
          <cell r="A2199" t="str">
            <v xml:space="preserve"> </v>
          </cell>
        </row>
        <row r="2200">
          <cell r="A2200" t="str">
            <v xml:space="preserve"> </v>
          </cell>
        </row>
        <row r="2201">
          <cell r="A2201" t="str">
            <v xml:space="preserve"> </v>
          </cell>
        </row>
        <row r="2202">
          <cell r="A2202" t="str">
            <v xml:space="preserve"> </v>
          </cell>
        </row>
        <row r="2203">
          <cell r="A2203" t="str">
            <v xml:space="preserve"> </v>
          </cell>
        </row>
        <row r="2204">
          <cell r="A2204" t="str">
            <v xml:space="preserve"> </v>
          </cell>
        </row>
        <row r="2205">
          <cell r="A2205" t="str">
            <v xml:space="preserve"> </v>
          </cell>
        </row>
        <row r="2206">
          <cell r="A2206" t="str">
            <v xml:space="preserve"> </v>
          </cell>
        </row>
        <row r="2207">
          <cell r="A2207" t="str">
            <v xml:space="preserve"> </v>
          </cell>
        </row>
        <row r="2208">
          <cell r="A2208" t="str">
            <v xml:space="preserve"> </v>
          </cell>
        </row>
        <row r="2209">
          <cell r="A2209" t="str">
            <v xml:space="preserve"> </v>
          </cell>
        </row>
        <row r="2210">
          <cell r="A2210" t="str">
            <v xml:space="preserve"> </v>
          </cell>
        </row>
        <row r="2211">
          <cell r="A2211" t="str">
            <v xml:space="preserve"> </v>
          </cell>
        </row>
        <row r="2212">
          <cell r="A2212" t="str">
            <v xml:space="preserve"> </v>
          </cell>
        </row>
        <row r="2213">
          <cell r="A2213" t="str">
            <v xml:space="preserve"> </v>
          </cell>
        </row>
        <row r="2214">
          <cell r="A2214" t="str">
            <v xml:space="preserve"> </v>
          </cell>
        </row>
        <row r="2215">
          <cell r="A2215" t="str">
            <v xml:space="preserve"> </v>
          </cell>
        </row>
        <row r="2216">
          <cell r="A2216" t="str">
            <v xml:space="preserve"> </v>
          </cell>
        </row>
        <row r="2217">
          <cell r="A2217" t="str">
            <v xml:space="preserve"> </v>
          </cell>
        </row>
        <row r="2218">
          <cell r="A2218" t="str">
            <v xml:space="preserve"> </v>
          </cell>
        </row>
        <row r="2219">
          <cell r="A2219" t="str">
            <v xml:space="preserve"> </v>
          </cell>
        </row>
        <row r="2220">
          <cell r="A2220" t="str">
            <v xml:space="preserve"> </v>
          </cell>
        </row>
        <row r="2221">
          <cell r="A2221" t="str">
            <v xml:space="preserve"> </v>
          </cell>
        </row>
        <row r="2222">
          <cell r="A2222" t="str">
            <v xml:space="preserve"> </v>
          </cell>
        </row>
        <row r="2223">
          <cell r="A2223" t="str">
            <v xml:space="preserve"> </v>
          </cell>
        </row>
        <row r="2224">
          <cell r="A2224" t="str">
            <v xml:space="preserve"> </v>
          </cell>
        </row>
        <row r="2225">
          <cell r="A2225" t="str">
            <v xml:space="preserve"> </v>
          </cell>
        </row>
        <row r="2226">
          <cell r="A2226" t="str">
            <v xml:space="preserve"> </v>
          </cell>
        </row>
        <row r="2227">
          <cell r="A2227" t="str">
            <v xml:space="preserve"> </v>
          </cell>
        </row>
        <row r="2228">
          <cell r="A2228" t="str">
            <v xml:space="preserve"> </v>
          </cell>
        </row>
        <row r="2229">
          <cell r="A2229" t="str">
            <v xml:space="preserve"> </v>
          </cell>
        </row>
        <row r="2230">
          <cell r="A2230" t="str">
            <v xml:space="preserve"> </v>
          </cell>
        </row>
        <row r="2231">
          <cell r="A2231" t="str">
            <v xml:space="preserve"> </v>
          </cell>
        </row>
        <row r="2232">
          <cell r="A2232" t="str">
            <v xml:space="preserve"> </v>
          </cell>
        </row>
        <row r="2233">
          <cell r="A2233" t="str">
            <v xml:space="preserve"> </v>
          </cell>
        </row>
        <row r="2234">
          <cell r="A2234" t="str">
            <v xml:space="preserve"> </v>
          </cell>
        </row>
        <row r="2235">
          <cell r="A2235" t="str">
            <v xml:space="preserve"> </v>
          </cell>
        </row>
        <row r="2236">
          <cell r="A2236" t="str">
            <v xml:space="preserve"> </v>
          </cell>
        </row>
        <row r="2237">
          <cell r="A2237" t="str">
            <v xml:space="preserve"> </v>
          </cell>
        </row>
        <row r="2238">
          <cell r="A2238" t="str">
            <v xml:space="preserve"> </v>
          </cell>
        </row>
        <row r="2239">
          <cell r="A2239" t="str">
            <v xml:space="preserve"> </v>
          </cell>
        </row>
        <row r="2240">
          <cell r="A2240" t="str">
            <v xml:space="preserve"> </v>
          </cell>
        </row>
        <row r="2241">
          <cell r="A2241" t="str">
            <v xml:space="preserve"> </v>
          </cell>
        </row>
        <row r="2242">
          <cell r="A2242" t="str">
            <v xml:space="preserve"> </v>
          </cell>
        </row>
        <row r="2243">
          <cell r="A2243" t="str">
            <v xml:space="preserve"> </v>
          </cell>
        </row>
        <row r="2244">
          <cell r="A2244" t="str">
            <v xml:space="preserve"> </v>
          </cell>
        </row>
        <row r="2245">
          <cell r="A2245" t="str">
            <v xml:space="preserve"> </v>
          </cell>
        </row>
        <row r="2246">
          <cell r="A2246" t="str">
            <v xml:space="preserve"> </v>
          </cell>
        </row>
        <row r="2247">
          <cell r="A2247" t="str">
            <v xml:space="preserve"> </v>
          </cell>
        </row>
        <row r="2248">
          <cell r="A2248" t="str">
            <v xml:space="preserve"> </v>
          </cell>
        </row>
        <row r="2249">
          <cell r="A2249" t="str">
            <v xml:space="preserve"> </v>
          </cell>
        </row>
        <row r="2250">
          <cell r="A2250" t="str">
            <v xml:space="preserve"> </v>
          </cell>
        </row>
        <row r="2251">
          <cell r="A2251" t="str">
            <v xml:space="preserve"> </v>
          </cell>
        </row>
        <row r="2252">
          <cell r="A2252" t="str">
            <v xml:space="preserve"> </v>
          </cell>
        </row>
        <row r="2253">
          <cell r="A2253" t="str">
            <v xml:space="preserve"> </v>
          </cell>
        </row>
        <row r="2254">
          <cell r="A2254" t="str">
            <v xml:space="preserve"> </v>
          </cell>
        </row>
        <row r="2255">
          <cell r="A2255" t="str">
            <v xml:space="preserve"> </v>
          </cell>
        </row>
        <row r="2256">
          <cell r="A2256" t="str">
            <v xml:space="preserve"> </v>
          </cell>
        </row>
        <row r="2257">
          <cell r="A2257" t="str">
            <v xml:space="preserve"> </v>
          </cell>
        </row>
        <row r="2258">
          <cell r="A2258" t="str">
            <v xml:space="preserve"> </v>
          </cell>
        </row>
        <row r="2259">
          <cell r="A2259" t="str">
            <v xml:space="preserve"> </v>
          </cell>
        </row>
        <row r="2260">
          <cell r="A2260" t="str">
            <v xml:space="preserve"> </v>
          </cell>
        </row>
        <row r="2261">
          <cell r="A2261" t="str">
            <v xml:space="preserve"> </v>
          </cell>
        </row>
        <row r="2262">
          <cell r="A2262" t="str">
            <v xml:space="preserve"> </v>
          </cell>
        </row>
        <row r="2263">
          <cell r="A2263" t="str">
            <v xml:space="preserve"> </v>
          </cell>
        </row>
        <row r="2264">
          <cell r="A2264" t="str">
            <v xml:space="preserve"> </v>
          </cell>
        </row>
        <row r="2265">
          <cell r="A2265" t="str">
            <v xml:space="preserve"> </v>
          </cell>
        </row>
        <row r="2266">
          <cell r="A2266" t="str">
            <v xml:space="preserve"> </v>
          </cell>
        </row>
        <row r="2267">
          <cell r="A2267" t="str">
            <v xml:space="preserve"> </v>
          </cell>
        </row>
        <row r="2268">
          <cell r="A2268" t="str">
            <v xml:space="preserve"> </v>
          </cell>
        </row>
        <row r="2269">
          <cell r="A2269" t="str">
            <v xml:space="preserve"> </v>
          </cell>
        </row>
        <row r="2270">
          <cell r="A2270" t="str">
            <v xml:space="preserve"> </v>
          </cell>
        </row>
        <row r="2271">
          <cell r="A2271" t="str">
            <v xml:space="preserve"> </v>
          </cell>
        </row>
        <row r="2272">
          <cell r="A2272" t="str">
            <v xml:space="preserve"> </v>
          </cell>
        </row>
        <row r="2273">
          <cell r="A2273" t="str">
            <v xml:space="preserve"> </v>
          </cell>
        </row>
        <row r="2274">
          <cell r="A2274" t="str">
            <v xml:space="preserve"> </v>
          </cell>
        </row>
        <row r="2275">
          <cell r="A2275" t="str">
            <v xml:space="preserve"> </v>
          </cell>
        </row>
        <row r="2276">
          <cell r="A2276" t="str">
            <v xml:space="preserve"> </v>
          </cell>
        </row>
        <row r="2277">
          <cell r="A2277" t="str">
            <v xml:space="preserve"> </v>
          </cell>
        </row>
        <row r="2278">
          <cell r="A2278" t="str">
            <v xml:space="preserve"> </v>
          </cell>
        </row>
        <row r="2279">
          <cell r="A2279" t="str">
            <v xml:space="preserve"> </v>
          </cell>
        </row>
        <row r="2280">
          <cell r="A2280" t="str">
            <v xml:space="preserve"> </v>
          </cell>
        </row>
        <row r="2281">
          <cell r="A2281" t="str">
            <v xml:space="preserve"> </v>
          </cell>
        </row>
        <row r="2282">
          <cell r="A2282" t="str">
            <v xml:space="preserve"> </v>
          </cell>
        </row>
        <row r="2283">
          <cell r="A2283" t="str">
            <v xml:space="preserve"> </v>
          </cell>
        </row>
        <row r="2284">
          <cell r="A2284" t="str">
            <v xml:space="preserve"> </v>
          </cell>
        </row>
        <row r="2285">
          <cell r="A2285" t="str">
            <v xml:space="preserve"> </v>
          </cell>
        </row>
        <row r="2286">
          <cell r="A2286" t="str">
            <v xml:space="preserve"> </v>
          </cell>
        </row>
        <row r="2287">
          <cell r="A2287" t="str">
            <v xml:space="preserve"> </v>
          </cell>
        </row>
        <row r="2288">
          <cell r="A2288" t="str">
            <v xml:space="preserve"> </v>
          </cell>
        </row>
        <row r="2289">
          <cell r="A2289" t="str">
            <v xml:space="preserve"> </v>
          </cell>
        </row>
        <row r="2290">
          <cell r="A2290" t="str">
            <v xml:space="preserve"> </v>
          </cell>
        </row>
        <row r="2291">
          <cell r="A2291" t="str">
            <v xml:space="preserve"> </v>
          </cell>
        </row>
        <row r="2292">
          <cell r="A2292" t="str">
            <v xml:space="preserve"> </v>
          </cell>
        </row>
        <row r="2293">
          <cell r="A2293" t="str">
            <v xml:space="preserve"> </v>
          </cell>
        </row>
        <row r="2294">
          <cell r="A2294" t="str">
            <v xml:space="preserve"> </v>
          </cell>
        </row>
        <row r="2295">
          <cell r="A2295" t="str">
            <v xml:space="preserve"> </v>
          </cell>
        </row>
        <row r="2296">
          <cell r="A2296" t="str">
            <v xml:space="preserve"> </v>
          </cell>
        </row>
        <row r="2297">
          <cell r="A2297" t="str">
            <v xml:space="preserve"> </v>
          </cell>
        </row>
        <row r="2298">
          <cell r="A2298" t="str">
            <v xml:space="preserve"> </v>
          </cell>
        </row>
        <row r="2299">
          <cell r="A2299" t="str">
            <v xml:space="preserve"> </v>
          </cell>
        </row>
        <row r="2300">
          <cell r="A2300" t="str">
            <v xml:space="preserve"> </v>
          </cell>
        </row>
        <row r="2301">
          <cell r="A2301" t="str">
            <v xml:space="preserve"> </v>
          </cell>
        </row>
        <row r="2302">
          <cell r="A2302" t="str">
            <v xml:space="preserve"> </v>
          </cell>
        </row>
        <row r="2303">
          <cell r="A2303" t="str">
            <v xml:space="preserve"> </v>
          </cell>
        </row>
        <row r="2304">
          <cell r="A2304" t="str">
            <v xml:space="preserve"> </v>
          </cell>
        </row>
        <row r="2305">
          <cell r="A2305" t="str">
            <v xml:space="preserve"> </v>
          </cell>
        </row>
        <row r="2306">
          <cell r="A2306" t="str">
            <v xml:space="preserve"> </v>
          </cell>
        </row>
        <row r="2307">
          <cell r="A2307" t="str">
            <v xml:space="preserve"> </v>
          </cell>
        </row>
        <row r="2308">
          <cell r="A2308" t="str">
            <v xml:space="preserve"> </v>
          </cell>
        </row>
        <row r="2309">
          <cell r="A2309" t="str">
            <v xml:space="preserve"> </v>
          </cell>
        </row>
        <row r="2310">
          <cell r="A2310" t="str">
            <v xml:space="preserve"> </v>
          </cell>
        </row>
        <row r="2311">
          <cell r="A2311" t="str">
            <v xml:space="preserve"> </v>
          </cell>
        </row>
        <row r="2312">
          <cell r="A2312" t="str">
            <v xml:space="preserve"> </v>
          </cell>
        </row>
        <row r="2313">
          <cell r="A2313" t="str">
            <v xml:space="preserve"> </v>
          </cell>
        </row>
        <row r="2314">
          <cell r="A2314" t="str">
            <v xml:space="preserve"> </v>
          </cell>
        </row>
        <row r="2315">
          <cell r="A2315" t="str">
            <v xml:space="preserve"> </v>
          </cell>
        </row>
        <row r="2316">
          <cell r="A2316" t="str">
            <v xml:space="preserve"> </v>
          </cell>
        </row>
        <row r="2317">
          <cell r="A2317" t="str">
            <v xml:space="preserve"> </v>
          </cell>
        </row>
        <row r="2318">
          <cell r="A2318" t="str">
            <v xml:space="preserve"> </v>
          </cell>
        </row>
        <row r="2319">
          <cell r="A2319" t="str">
            <v xml:space="preserve"> </v>
          </cell>
        </row>
        <row r="2320">
          <cell r="A2320" t="str">
            <v xml:space="preserve"> </v>
          </cell>
        </row>
        <row r="2321">
          <cell r="A2321" t="str">
            <v xml:space="preserve"> </v>
          </cell>
        </row>
        <row r="2322">
          <cell r="A2322" t="str">
            <v xml:space="preserve"> </v>
          </cell>
        </row>
        <row r="2323">
          <cell r="A2323" t="str">
            <v xml:space="preserve"> </v>
          </cell>
        </row>
        <row r="2324">
          <cell r="A2324" t="str">
            <v xml:space="preserve"> </v>
          </cell>
        </row>
        <row r="2325">
          <cell r="A2325" t="str">
            <v xml:space="preserve"> </v>
          </cell>
        </row>
        <row r="2326">
          <cell r="A2326" t="str">
            <v xml:space="preserve"> </v>
          </cell>
        </row>
        <row r="2327">
          <cell r="A2327" t="str">
            <v xml:space="preserve"> </v>
          </cell>
        </row>
        <row r="2328">
          <cell r="A2328" t="str">
            <v xml:space="preserve"> </v>
          </cell>
        </row>
        <row r="2329">
          <cell r="A2329" t="str">
            <v xml:space="preserve"> </v>
          </cell>
        </row>
        <row r="2330">
          <cell r="A2330" t="str">
            <v xml:space="preserve"> </v>
          </cell>
        </row>
        <row r="2331">
          <cell r="A2331" t="str">
            <v xml:space="preserve"> </v>
          </cell>
        </row>
        <row r="2332">
          <cell r="A2332" t="str">
            <v xml:space="preserve"> </v>
          </cell>
        </row>
        <row r="2333">
          <cell r="A2333" t="str">
            <v xml:space="preserve"> </v>
          </cell>
        </row>
        <row r="2334">
          <cell r="A2334" t="str">
            <v xml:space="preserve"> </v>
          </cell>
        </row>
        <row r="2335">
          <cell r="A2335" t="str">
            <v xml:space="preserve"> </v>
          </cell>
        </row>
        <row r="2336">
          <cell r="A2336" t="str">
            <v xml:space="preserve"> </v>
          </cell>
        </row>
        <row r="2337">
          <cell r="A2337" t="str">
            <v xml:space="preserve"> </v>
          </cell>
        </row>
        <row r="2338">
          <cell r="A2338" t="str">
            <v xml:space="preserve"> </v>
          </cell>
        </row>
        <row r="2339">
          <cell r="A2339" t="str">
            <v xml:space="preserve"> </v>
          </cell>
        </row>
        <row r="2340">
          <cell r="A2340" t="str">
            <v xml:space="preserve"> </v>
          </cell>
        </row>
        <row r="2341">
          <cell r="A2341" t="str">
            <v xml:space="preserve"> </v>
          </cell>
        </row>
        <row r="2342">
          <cell r="A2342" t="str">
            <v xml:space="preserve"> </v>
          </cell>
        </row>
        <row r="2343">
          <cell r="A2343" t="str">
            <v xml:space="preserve"> </v>
          </cell>
        </row>
        <row r="2344">
          <cell r="A2344" t="str">
            <v xml:space="preserve"> </v>
          </cell>
        </row>
        <row r="2345">
          <cell r="A2345" t="str">
            <v xml:space="preserve"> </v>
          </cell>
        </row>
        <row r="2346">
          <cell r="A2346" t="str">
            <v xml:space="preserve"> </v>
          </cell>
        </row>
        <row r="2347">
          <cell r="A2347" t="str">
            <v xml:space="preserve"> </v>
          </cell>
        </row>
        <row r="2348">
          <cell r="A2348" t="str">
            <v xml:space="preserve"> </v>
          </cell>
        </row>
        <row r="2349">
          <cell r="A2349" t="str">
            <v xml:space="preserve"> </v>
          </cell>
        </row>
        <row r="2350">
          <cell r="A2350" t="str">
            <v xml:space="preserve"> </v>
          </cell>
        </row>
        <row r="2351">
          <cell r="A2351" t="str">
            <v xml:space="preserve"> </v>
          </cell>
        </row>
        <row r="2352">
          <cell r="A2352" t="str">
            <v xml:space="preserve"> </v>
          </cell>
        </row>
        <row r="2353">
          <cell r="A2353" t="str">
            <v xml:space="preserve"> </v>
          </cell>
        </row>
        <row r="2354">
          <cell r="A2354" t="str">
            <v xml:space="preserve"> </v>
          </cell>
        </row>
        <row r="2355">
          <cell r="A2355" t="str">
            <v xml:space="preserve"> </v>
          </cell>
        </row>
        <row r="2356">
          <cell r="A2356" t="str">
            <v xml:space="preserve"> </v>
          </cell>
        </row>
        <row r="2357">
          <cell r="A2357" t="str">
            <v xml:space="preserve"> </v>
          </cell>
        </row>
        <row r="2358">
          <cell r="A2358" t="str">
            <v xml:space="preserve"> </v>
          </cell>
        </row>
        <row r="2359">
          <cell r="A2359" t="str">
            <v xml:space="preserve"> </v>
          </cell>
        </row>
        <row r="2360">
          <cell r="A2360" t="str">
            <v xml:space="preserve"> </v>
          </cell>
        </row>
        <row r="2361">
          <cell r="A2361" t="str">
            <v xml:space="preserve"> </v>
          </cell>
        </row>
        <row r="2362">
          <cell r="A2362" t="str">
            <v xml:space="preserve"> </v>
          </cell>
        </row>
        <row r="2363">
          <cell r="A2363" t="str">
            <v xml:space="preserve"> </v>
          </cell>
        </row>
        <row r="2364">
          <cell r="A2364" t="str">
            <v xml:space="preserve"> </v>
          </cell>
        </row>
        <row r="2365">
          <cell r="A2365" t="str">
            <v xml:space="preserve"> </v>
          </cell>
        </row>
        <row r="2366">
          <cell r="A2366" t="str">
            <v xml:space="preserve"> </v>
          </cell>
        </row>
        <row r="2367">
          <cell r="A2367" t="str">
            <v xml:space="preserve"> </v>
          </cell>
        </row>
        <row r="2368">
          <cell r="A2368" t="str">
            <v xml:space="preserve"> </v>
          </cell>
        </row>
        <row r="2369">
          <cell r="A2369" t="str">
            <v xml:space="preserve"> </v>
          </cell>
        </row>
        <row r="2370">
          <cell r="A2370" t="str">
            <v xml:space="preserve"> </v>
          </cell>
        </row>
        <row r="2371">
          <cell r="A2371" t="str">
            <v xml:space="preserve"> </v>
          </cell>
        </row>
        <row r="2372">
          <cell r="A2372" t="str">
            <v xml:space="preserve"> </v>
          </cell>
        </row>
        <row r="2373">
          <cell r="A2373" t="str">
            <v xml:space="preserve"> </v>
          </cell>
        </row>
        <row r="2374">
          <cell r="A2374" t="str">
            <v xml:space="preserve"> </v>
          </cell>
        </row>
        <row r="2375">
          <cell r="A2375" t="str">
            <v xml:space="preserve"> </v>
          </cell>
        </row>
        <row r="2376">
          <cell r="A2376" t="str">
            <v xml:space="preserve"> </v>
          </cell>
        </row>
        <row r="2377">
          <cell r="A2377" t="str">
            <v xml:space="preserve"> </v>
          </cell>
        </row>
        <row r="2378">
          <cell r="A2378" t="str">
            <v xml:space="preserve"> </v>
          </cell>
        </row>
        <row r="2379">
          <cell r="A2379" t="str">
            <v xml:space="preserve"> </v>
          </cell>
        </row>
        <row r="2380">
          <cell r="A2380" t="str">
            <v xml:space="preserve"> </v>
          </cell>
        </row>
        <row r="2381">
          <cell r="A2381" t="str">
            <v xml:space="preserve"> </v>
          </cell>
        </row>
        <row r="2382">
          <cell r="A2382" t="str">
            <v xml:space="preserve"> </v>
          </cell>
        </row>
        <row r="2383">
          <cell r="A2383" t="str">
            <v xml:space="preserve"> </v>
          </cell>
        </row>
        <row r="2384">
          <cell r="A2384" t="str">
            <v xml:space="preserve"> </v>
          </cell>
        </row>
        <row r="2385">
          <cell r="A2385" t="str">
            <v xml:space="preserve"> </v>
          </cell>
        </row>
        <row r="2386">
          <cell r="A2386" t="str">
            <v xml:space="preserve"> </v>
          </cell>
        </row>
        <row r="2387">
          <cell r="A2387" t="str">
            <v xml:space="preserve"> </v>
          </cell>
        </row>
        <row r="2388">
          <cell r="A2388" t="str">
            <v xml:space="preserve"> </v>
          </cell>
        </row>
        <row r="2389">
          <cell r="A2389" t="str">
            <v xml:space="preserve"> </v>
          </cell>
        </row>
        <row r="2390">
          <cell r="A2390" t="str">
            <v xml:space="preserve"> </v>
          </cell>
        </row>
        <row r="2391">
          <cell r="A2391" t="str">
            <v xml:space="preserve"> </v>
          </cell>
        </row>
        <row r="2392">
          <cell r="A2392" t="str">
            <v xml:space="preserve"> </v>
          </cell>
        </row>
        <row r="2393">
          <cell r="A2393" t="str">
            <v xml:space="preserve"> </v>
          </cell>
        </row>
        <row r="2394">
          <cell r="A2394" t="str">
            <v xml:space="preserve"> </v>
          </cell>
        </row>
        <row r="2395">
          <cell r="A2395" t="str">
            <v xml:space="preserve"> </v>
          </cell>
        </row>
        <row r="2396">
          <cell r="A2396" t="str">
            <v xml:space="preserve"> </v>
          </cell>
        </row>
        <row r="2397">
          <cell r="A2397" t="str">
            <v xml:space="preserve"> </v>
          </cell>
        </row>
        <row r="2398">
          <cell r="A2398" t="str">
            <v xml:space="preserve"> </v>
          </cell>
        </row>
        <row r="2399">
          <cell r="A2399" t="str">
            <v xml:space="preserve"> </v>
          </cell>
        </row>
        <row r="2400">
          <cell r="A2400" t="str">
            <v xml:space="preserve"> </v>
          </cell>
        </row>
        <row r="2401">
          <cell r="A2401" t="str">
            <v xml:space="preserve"> </v>
          </cell>
        </row>
        <row r="2402">
          <cell r="A2402" t="str">
            <v xml:space="preserve"> </v>
          </cell>
        </row>
        <row r="2403">
          <cell r="A2403" t="str">
            <v xml:space="preserve"> </v>
          </cell>
        </row>
        <row r="2404">
          <cell r="A2404" t="str">
            <v xml:space="preserve"> </v>
          </cell>
        </row>
        <row r="2405">
          <cell r="A2405" t="str">
            <v xml:space="preserve"> </v>
          </cell>
        </row>
        <row r="2406">
          <cell r="A2406" t="str">
            <v xml:space="preserve"> </v>
          </cell>
        </row>
        <row r="2407">
          <cell r="A2407" t="str">
            <v xml:space="preserve"> </v>
          </cell>
        </row>
        <row r="2408">
          <cell r="A2408" t="str">
            <v xml:space="preserve"> </v>
          </cell>
        </row>
        <row r="2409">
          <cell r="A2409" t="str">
            <v xml:space="preserve"> </v>
          </cell>
        </row>
        <row r="2410">
          <cell r="A2410" t="str">
            <v xml:space="preserve"> </v>
          </cell>
        </row>
        <row r="2411">
          <cell r="A2411" t="str">
            <v xml:space="preserve"> </v>
          </cell>
        </row>
        <row r="2412">
          <cell r="A2412" t="str">
            <v xml:space="preserve"> </v>
          </cell>
        </row>
        <row r="2413">
          <cell r="A2413" t="str">
            <v xml:space="preserve"> </v>
          </cell>
        </row>
        <row r="2414">
          <cell r="A2414" t="str">
            <v xml:space="preserve"> </v>
          </cell>
        </row>
        <row r="2415">
          <cell r="A2415" t="str">
            <v xml:space="preserve"> </v>
          </cell>
        </row>
        <row r="2416">
          <cell r="A2416" t="str">
            <v xml:space="preserve"> </v>
          </cell>
        </row>
        <row r="2417">
          <cell r="A2417" t="str">
            <v xml:space="preserve"> </v>
          </cell>
        </row>
        <row r="2418">
          <cell r="A2418" t="str">
            <v xml:space="preserve"> </v>
          </cell>
        </row>
        <row r="2419">
          <cell r="A2419" t="str">
            <v xml:space="preserve"> </v>
          </cell>
        </row>
        <row r="2420">
          <cell r="A2420" t="str">
            <v xml:space="preserve"> </v>
          </cell>
        </row>
        <row r="2421">
          <cell r="A2421" t="str">
            <v xml:space="preserve"> </v>
          </cell>
        </row>
        <row r="2422">
          <cell r="A2422" t="str">
            <v xml:space="preserve"> </v>
          </cell>
        </row>
        <row r="2423">
          <cell r="A2423" t="str">
            <v xml:space="preserve"> </v>
          </cell>
        </row>
        <row r="2424">
          <cell r="A2424" t="str">
            <v xml:space="preserve"> </v>
          </cell>
        </row>
        <row r="2425">
          <cell r="A2425" t="str">
            <v xml:space="preserve"> </v>
          </cell>
        </row>
        <row r="2426">
          <cell r="A2426" t="str">
            <v xml:space="preserve"> </v>
          </cell>
        </row>
        <row r="2427">
          <cell r="A2427" t="str">
            <v xml:space="preserve"> </v>
          </cell>
        </row>
        <row r="2428">
          <cell r="A2428" t="str">
            <v xml:space="preserve"> </v>
          </cell>
        </row>
        <row r="2429">
          <cell r="A2429" t="str">
            <v xml:space="preserve"> </v>
          </cell>
        </row>
        <row r="2430">
          <cell r="A2430" t="str">
            <v xml:space="preserve"> </v>
          </cell>
        </row>
        <row r="2431">
          <cell r="A2431" t="str">
            <v xml:space="preserve"> </v>
          </cell>
        </row>
        <row r="2432">
          <cell r="A2432" t="str">
            <v xml:space="preserve"> </v>
          </cell>
        </row>
        <row r="2433">
          <cell r="A2433" t="str">
            <v xml:space="preserve"> </v>
          </cell>
        </row>
        <row r="2434">
          <cell r="A2434" t="str">
            <v xml:space="preserve"> </v>
          </cell>
        </row>
        <row r="2435">
          <cell r="A2435" t="str">
            <v xml:space="preserve"> </v>
          </cell>
        </row>
        <row r="2436">
          <cell r="A2436" t="str">
            <v xml:space="preserve"> </v>
          </cell>
        </row>
        <row r="2437">
          <cell r="A2437" t="str">
            <v xml:space="preserve"> </v>
          </cell>
        </row>
        <row r="2438">
          <cell r="A2438" t="str">
            <v xml:space="preserve"> </v>
          </cell>
        </row>
        <row r="2439">
          <cell r="A2439" t="str">
            <v xml:space="preserve"> </v>
          </cell>
        </row>
        <row r="2440">
          <cell r="A2440" t="str">
            <v xml:space="preserve"> </v>
          </cell>
        </row>
        <row r="2441">
          <cell r="A2441" t="str">
            <v xml:space="preserve"> </v>
          </cell>
        </row>
        <row r="2442">
          <cell r="A2442" t="str">
            <v xml:space="preserve"> </v>
          </cell>
        </row>
        <row r="2443">
          <cell r="A2443" t="str">
            <v xml:space="preserve"> </v>
          </cell>
        </row>
        <row r="2444">
          <cell r="A2444" t="str">
            <v xml:space="preserve"> </v>
          </cell>
        </row>
        <row r="2445">
          <cell r="A2445" t="str">
            <v xml:space="preserve"> </v>
          </cell>
        </row>
        <row r="2446">
          <cell r="A2446" t="str">
            <v xml:space="preserve"> </v>
          </cell>
        </row>
        <row r="2447">
          <cell r="A2447" t="str">
            <v xml:space="preserve"> </v>
          </cell>
        </row>
        <row r="2448">
          <cell r="A2448" t="str">
            <v xml:space="preserve"> </v>
          </cell>
        </row>
        <row r="2449">
          <cell r="A2449" t="str">
            <v xml:space="preserve"> </v>
          </cell>
        </row>
        <row r="2450">
          <cell r="A2450" t="str">
            <v xml:space="preserve"> </v>
          </cell>
        </row>
        <row r="2451">
          <cell r="A2451" t="str">
            <v xml:space="preserve"> </v>
          </cell>
        </row>
        <row r="2452">
          <cell r="A2452" t="str">
            <v xml:space="preserve"> </v>
          </cell>
        </row>
        <row r="2453">
          <cell r="A2453" t="str">
            <v xml:space="preserve"> </v>
          </cell>
        </row>
        <row r="2454">
          <cell r="A2454" t="str">
            <v xml:space="preserve"> </v>
          </cell>
        </row>
        <row r="2455">
          <cell r="A2455" t="str">
            <v xml:space="preserve"> </v>
          </cell>
        </row>
        <row r="2456">
          <cell r="A2456" t="str">
            <v xml:space="preserve"> </v>
          </cell>
        </row>
        <row r="2457">
          <cell r="A2457" t="str">
            <v xml:space="preserve"> </v>
          </cell>
        </row>
        <row r="2458">
          <cell r="A2458" t="str">
            <v xml:space="preserve"> </v>
          </cell>
        </row>
        <row r="2459">
          <cell r="A2459" t="str">
            <v xml:space="preserve"> </v>
          </cell>
        </row>
        <row r="2460">
          <cell r="A2460" t="str">
            <v xml:space="preserve"> </v>
          </cell>
        </row>
        <row r="2461">
          <cell r="A2461" t="str">
            <v xml:space="preserve"> </v>
          </cell>
        </row>
        <row r="2462">
          <cell r="A2462" t="str">
            <v xml:space="preserve"> </v>
          </cell>
        </row>
        <row r="2463">
          <cell r="A2463" t="str">
            <v xml:space="preserve"> </v>
          </cell>
        </row>
        <row r="2464">
          <cell r="A2464" t="str">
            <v xml:space="preserve"> </v>
          </cell>
        </row>
        <row r="2465">
          <cell r="A2465" t="str">
            <v xml:space="preserve"> </v>
          </cell>
        </row>
        <row r="2466">
          <cell r="A2466" t="str">
            <v xml:space="preserve"> </v>
          </cell>
        </row>
        <row r="2467">
          <cell r="A2467" t="str">
            <v xml:space="preserve"> </v>
          </cell>
        </row>
        <row r="2468">
          <cell r="A2468" t="str">
            <v xml:space="preserve"> </v>
          </cell>
        </row>
        <row r="2469">
          <cell r="A2469" t="str">
            <v xml:space="preserve"> </v>
          </cell>
        </row>
        <row r="2470">
          <cell r="A2470" t="str">
            <v xml:space="preserve"> </v>
          </cell>
        </row>
        <row r="2471">
          <cell r="A2471" t="str">
            <v xml:space="preserve"> </v>
          </cell>
        </row>
        <row r="2472">
          <cell r="A2472" t="str">
            <v xml:space="preserve"> </v>
          </cell>
        </row>
        <row r="2473">
          <cell r="A2473" t="str">
            <v xml:space="preserve"> </v>
          </cell>
        </row>
        <row r="2474">
          <cell r="A2474" t="str">
            <v xml:space="preserve"> </v>
          </cell>
        </row>
        <row r="2475">
          <cell r="A2475" t="str">
            <v xml:space="preserve"> </v>
          </cell>
        </row>
        <row r="2476">
          <cell r="A2476" t="str">
            <v xml:space="preserve"> </v>
          </cell>
        </row>
        <row r="2477">
          <cell r="A2477" t="str">
            <v xml:space="preserve"> </v>
          </cell>
        </row>
        <row r="2478">
          <cell r="A2478" t="str">
            <v xml:space="preserve"> </v>
          </cell>
        </row>
        <row r="2479">
          <cell r="A2479" t="str">
            <v xml:space="preserve"> </v>
          </cell>
        </row>
        <row r="2480">
          <cell r="A2480" t="str">
            <v xml:space="preserve"> </v>
          </cell>
        </row>
        <row r="2481">
          <cell r="A2481" t="str">
            <v xml:space="preserve"> </v>
          </cell>
        </row>
        <row r="2482">
          <cell r="A2482" t="str">
            <v xml:space="preserve"> </v>
          </cell>
        </row>
        <row r="2483">
          <cell r="A2483" t="str">
            <v xml:space="preserve"> </v>
          </cell>
        </row>
        <row r="2484">
          <cell r="A2484" t="str">
            <v xml:space="preserve"> </v>
          </cell>
        </row>
        <row r="2485">
          <cell r="A2485" t="str">
            <v xml:space="preserve"> </v>
          </cell>
        </row>
        <row r="2486">
          <cell r="A2486" t="str">
            <v xml:space="preserve"> </v>
          </cell>
        </row>
        <row r="2487">
          <cell r="A2487" t="str">
            <v xml:space="preserve"> </v>
          </cell>
        </row>
        <row r="2488">
          <cell r="A2488" t="str">
            <v xml:space="preserve"> </v>
          </cell>
        </row>
        <row r="2489">
          <cell r="A2489" t="str">
            <v xml:space="preserve"> </v>
          </cell>
        </row>
        <row r="2490">
          <cell r="A2490" t="str">
            <v xml:space="preserve"> </v>
          </cell>
        </row>
        <row r="2491">
          <cell r="A2491" t="str">
            <v xml:space="preserve"> </v>
          </cell>
        </row>
        <row r="2492">
          <cell r="A2492" t="str">
            <v xml:space="preserve"> </v>
          </cell>
        </row>
        <row r="2493">
          <cell r="A2493" t="str">
            <v xml:space="preserve"> </v>
          </cell>
        </row>
        <row r="2494">
          <cell r="A2494" t="str">
            <v xml:space="preserve"> </v>
          </cell>
        </row>
        <row r="2495">
          <cell r="A2495" t="str">
            <v xml:space="preserve"> </v>
          </cell>
        </row>
        <row r="2496">
          <cell r="A2496" t="str">
            <v xml:space="preserve"> </v>
          </cell>
        </row>
        <row r="2497">
          <cell r="A2497" t="str">
            <v xml:space="preserve"> </v>
          </cell>
        </row>
        <row r="2498">
          <cell r="A2498" t="str">
            <v xml:space="preserve"> </v>
          </cell>
        </row>
        <row r="2499">
          <cell r="A2499" t="str">
            <v xml:space="preserve"> </v>
          </cell>
        </row>
        <row r="2500">
          <cell r="A2500" t="str">
            <v xml:space="preserve"> </v>
          </cell>
        </row>
        <row r="2501">
          <cell r="A2501" t="str">
            <v xml:space="preserve"> </v>
          </cell>
        </row>
        <row r="2502">
          <cell r="A2502" t="str">
            <v xml:space="preserve"> </v>
          </cell>
        </row>
        <row r="2503">
          <cell r="A2503" t="str">
            <v xml:space="preserve"> </v>
          </cell>
        </row>
        <row r="2504">
          <cell r="A2504" t="str">
            <v xml:space="preserve"> </v>
          </cell>
        </row>
        <row r="2505">
          <cell r="A2505" t="str">
            <v xml:space="preserve"> </v>
          </cell>
        </row>
        <row r="2506">
          <cell r="A2506" t="str">
            <v xml:space="preserve"> </v>
          </cell>
        </row>
        <row r="2507">
          <cell r="A2507" t="str">
            <v xml:space="preserve"> </v>
          </cell>
        </row>
        <row r="2508">
          <cell r="A2508" t="str">
            <v xml:space="preserve"> </v>
          </cell>
        </row>
        <row r="2509">
          <cell r="A2509" t="str">
            <v xml:space="preserve"> </v>
          </cell>
        </row>
        <row r="2510">
          <cell r="A2510" t="str">
            <v xml:space="preserve"> </v>
          </cell>
        </row>
        <row r="2511">
          <cell r="A2511" t="str">
            <v xml:space="preserve"> </v>
          </cell>
        </row>
        <row r="2512">
          <cell r="A2512" t="str">
            <v xml:space="preserve"> </v>
          </cell>
        </row>
        <row r="2513">
          <cell r="A2513" t="str">
            <v xml:space="preserve"> </v>
          </cell>
        </row>
        <row r="2514">
          <cell r="A2514" t="str">
            <v xml:space="preserve"> </v>
          </cell>
        </row>
        <row r="2515">
          <cell r="A2515" t="str">
            <v xml:space="preserve"> </v>
          </cell>
        </row>
        <row r="2516">
          <cell r="A2516" t="str">
            <v xml:space="preserve"> </v>
          </cell>
        </row>
        <row r="2517">
          <cell r="A2517" t="str">
            <v xml:space="preserve"> </v>
          </cell>
        </row>
        <row r="2518">
          <cell r="A2518" t="str">
            <v xml:space="preserve"> </v>
          </cell>
        </row>
        <row r="2519">
          <cell r="A2519" t="str">
            <v xml:space="preserve"> </v>
          </cell>
        </row>
        <row r="2520">
          <cell r="A2520" t="str">
            <v xml:space="preserve"> </v>
          </cell>
        </row>
        <row r="2521">
          <cell r="A2521" t="str">
            <v xml:space="preserve"> </v>
          </cell>
        </row>
        <row r="2522">
          <cell r="A2522" t="str">
            <v xml:space="preserve"> </v>
          </cell>
        </row>
        <row r="2523">
          <cell r="A2523" t="str">
            <v xml:space="preserve"> </v>
          </cell>
        </row>
        <row r="2524">
          <cell r="A2524" t="str">
            <v xml:space="preserve"> </v>
          </cell>
        </row>
        <row r="2525">
          <cell r="A2525" t="str">
            <v xml:space="preserve"> </v>
          </cell>
        </row>
        <row r="2526">
          <cell r="A2526" t="str">
            <v xml:space="preserve"> </v>
          </cell>
        </row>
        <row r="2527">
          <cell r="A2527" t="str">
            <v xml:space="preserve"> </v>
          </cell>
        </row>
        <row r="2528">
          <cell r="A2528" t="str">
            <v xml:space="preserve"> </v>
          </cell>
        </row>
        <row r="2529">
          <cell r="A2529" t="str">
            <v xml:space="preserve"> </v>
          </cell>
        </row>
        <row r="2530">
          <cell r="A2530" t="str">
            <v xml:space="preserve"> </v>
          </cell>
        </row>
        <row r="2531">
          <cell r="A2531" t="str">
            <v xml:space="preserve"> </v>
          </cell>
        </row>
        <row r="2532">
          <cell r="A2532" t="str">
            <v xml:space="preserve"> </v>
          </cell>
        </row>
        <row r="2533">
          <cell r="A2533" t="str">
            <v xml:space="preserve"> </v>
          </cell>
        </row>
        <row r="2534">
          <cell r="A2534" t="str">
            <v xml:space="preserve"> </v>
          </cell>
        </row>
        <row r="2535">
          <cell r="A2535" t="str">
            <v xml:space="preserve"> </v>
          </cell>
        </row>
        <row r="2536">
          <cell r="A2536" t="str">
            <v xml:space="preserve"> </v>
          </cell>
        </row>
        <row r="2537">
          <cell r="A2537" t="str">
            <v xml:space="preserve"> </v>
          </cell>
        </row>
        <row r="2538">
          <cell r="A2538" t="str">
            <v xml:space="preserve"> </v>
          </cell>
        </row>
        <row r="2539">
          <cell r="A2539" t="str">
            <v xml:space="preserve"> </v>
          </cell>
        </row>
        <row r="2540">
          <cell r="A2540" t="str">
            <v xml:space="preserve"> </v>
          </cell>
        </row>
        <row r="2541">
          <cell r="A2541" t="str">
            <v xml:space="preserve"> </v>
          </cell>
        </row>
        <row r="2542">
          <cell r="A2542" t="str">
            <v xml:space="preserve"> </v>
          </cell>
        </row>
        <row r="2543">
          <cell r="A2543" t="str">
            <v xml:space="preserve"> </v>
          </cell>
        </row>
        <row r="2544">
          <cell r="A2544" t="str">
            <v xml:space="preserve"> </v>
          </cell>
        </row>
        <row r="2545">
          <cell r="A2545" t="str">
            <v xml:space="preserve"> </v>
          </cell>
        </row>
        <row r="2546">
          <cell r="A2546" t="str">
            <v xml:space="preserve"> </v>
          </cell>
        </row>
        <row r="2547">
          <cell r="A2547" t="str">
            <v xml:space="preserve"> </v>
          </cell>
        </row>
        <row r="2548">
          <cell r="A2548" t="str">
            <v xml:space="preserve"> </v>
          </cell>
        </row>
        <row r="2549">
          <cell r="A2549" t="str">
            <v xml:space="preserve"> </v>
          </cell>
        </row>
        <row r="2550">
          <cell r="A2550" t="str">
            <v xml:space="preserve"> </v>
          </cell>
        </row>
        <row r="2551">
          <cell r="A2551" t="str">
            <v xml:space="preserve"> </v>
          </cell>
        </row>
        <row r="2552">
          <cell r="A2552" t="str">
            <v xml:space="preserve"> </v>
          </cell>
        </row>
        <row r="2553">
          <cell r="A2553" t="str">
            <v xml:space="preserve"> </v>
          </cell>
        </row>
        <row r="2554">
          <cell r="A2554" t="str">
            <v xml:space="preserve"> </v>
          </cell>
        </row>
        <row r="2555">
          <cell r="A2555" t="str">
            <v xml:space="preserve"> </v>
          </cell>
        </row>
        <row r="2556">
          <cell r="A2556" t="str">
            <v xml:space="preserve"> </v>
          </cell>
        </row>
        <row r="2557">
          <cell r="A2557" t="str">
            <v xml:space="preserve"> </v>
          </cell>
        </row>
        <row r="2558">
          <cell r="A2558" t="str">
            <v xml:space="preserve"> </v>
          </cell>
        </row>
        <row r="2559">
          <cell r="A2559" t="str">
            <v xml:space="preserve"> </v>
          </cell>
        </row>
        <row r="2560">
          <cell r="A2560" t="str">
            <v xml:space="preserve"> </v>
          </cell>
        </row>
        <row r="2561">
          <cell r="A2561" t="str">
            <v xml:space="preserve"> </v>
          </cell>
        </row>
        <row r="2562">
          <cell r="A2562" t="str">
            <v xml:space="preserve"> </v>
          </cell>
        </row>
        <row r="2563">
          <cell r="A2563" t="str">
            <v xml:space="preserve"> </v>
          </cell>
        </row>
        <row r="2564">
          <cell r="A2564" t="str">
            <v xml:space="preserve"> </v>
          </cell>
        </row>
        <row r="2565">
          <cell r="A2565" t="str">
            <v xml:space="preserve"> </v>
          </cell>
        </row>
        <row r="2566">
          <cell r="A2566" t="str">
            <v xml:space="preserve"> </v>
          </cell>
        </row>
        <row r="2567">
          <cell r="A2567" t="str">
            <v xml:space="preserve"> </v>
          </cell>
        </row>
        <row r="2568">
          <cell r="A2568" t="str">
            <v xml:space="preserve"> </v>
          </cell>
        </row>
        <row r="2569">
          <cell r="A2569" t="str">
            <v xml:space="preserve"> </v>
          </cell>
        </row>
        <row r="2570">
          <cell r="A2570" t="str">
            <v xml:space="preserve"> </v>
          </cell>
        </row>
        <row r="2571">
          <cell r="A2571" t="str">
            <v xml:space="preserve"> </v>
          </cell>
        </row>
        <row r="2572">
          <cell r="A2572" t="str">
            <v xml:space="preserve"> </v>
          </cell>
        </row>
        <row r="2573">
          <cell r="A2573" t="str">
            <v xml:space="preserve"> </v>
          </cell>
        </row>
        <row r="2574">
          <cell r="A2574" t="str">
            <v xml:space="preserve"> </v>
          </cell>
        </row>
        <row r="2575">
          <cell r="A2575" t="str">
            <v xml:space="preserve"> </v>
          </cell>
        </row>
        <row r="2576">
          <cell r="A2576" t="str">
            <v xml:space="preserve"> </v>
          </cell>
        </row>
        <row r="2577">
          <cell r="A2577" t="str">
            <v xml:space="preserve"> </v>
          </cell>
        </row>
        <row r="2578">
          <cell r="A2578" t="str">
            <v xml:space="preserve"> </v>
          </cell>
        </row>
        <row r="2579">
          <cell r="A2579" t="str">
            <v xml:space="preserve"> </v>
          </cell>
        </row>
        <row r="2580">
          <cell r="A2580" t="str">
            <v xml:space="preserve"> </v>
          </cell>
        </row>
        <row r="2581">
          <cell r="A2581" t="str">
            <v xml:space="preserve"> </v>
          </cell>
        </row>
        <row r="2582">
          <cell r="A2582" t="str">
            <v xml:space="preserve"> </v>
          </cell>
        </row>
        <row r="2583">
          <cell r="A2583" t="str">
            <v xml:space="preserve"> </v>
          </cell>
        </row>
        <row r="2584">
          <cell r="A2584" t="str">
            <v xml:space="preserve"> </v>
          </cell>
        </row>
        <row r="2585">
          <cell r="A2585" t="str">
            <v xml:space="preserve"> </v>
          </cell>
        </row>
        <row r="2586">
          <cell r="A2586" t="str">
            <v xml:space="preserve"> </v>
          </cell>
        </row>
        <row r="2587">
          <cell r="A2587" t="str">
            <v xml:space="preserve"> </v>
          </cell>
        </row>
        <row r="2588">
          <cell r="A2588" t="str">
            <v xml:space="preserve"> </v>
          </cell>
        </row>
        <row r="2589">
          <cell r="A2589" t="str">
            <v xml:space="preserve"> </v>
          </cell>
        </row>
        <row r="2590">
          <cell r="A2590" t="str">
            <v xml:space="preserve"> </v>
          </cell>
        </row>
        <row r="2591">
          <cell r="A2591" t="str">
            <v xml:space="preserve"> </v>
          </cell>
        </row>
        <row r="2592">
          <cell r="A2592" t="str">
            <v xml:space="preserve"> </v>
          </cell>
        </row>
        <row r="2593">
          <cell r="A2593" t="str">
            <v xml:space="preserve"> </v>
          </cell>
        </row>
        <row r="2594">
          <cell r="A2594" t="str">
            <v xml:space="preserve"> </v>
          </cell>
        </row>
        <row r="2595">
          <cell r="A2595" t="str">
            <v xml:space="preserve"> </v>
          </cell>
        </row>
        <row r="2596">
          <cell r="A2596" t="str">
            <v xml:space="preserve"> </v>
          </cell>
        </row>
        <row r="2597">
          <cell r="A2597" t="str">
            <v xml:space="preserve"> </v>
          </cell>
        </row>
        <row r="2598">
          <cell r="A2598" t="str">
            <v xml:space="preserve"> </v>
          </cell>
        </row>
        <row r="2599">
          <cell r="A2599" t="str">
            <v xml:space="preserve"> </v>
          </cell>
        </row>
        <row r="2600">
          <cell r="A2600" t="str">
            <v xml:space="preserve"> </v>
          </cell>
        </row>
        <row r="2601">
          <cell r="A2601" t="str">
            <v xml:space="preserve"> </v>
          </cell>
        </row>
        <row r="2602">
          <cell r="A2602" t="str">
            <v xml:space="preserve"> </v>
          </cell>
        </row>
        <row r="2603">
          <cell r="A2603" t="str">
            <v xml:space="preserve"> </v>
          </cell>
        </row>
        <row r="2604">
          <cell r="A2604" t="str">
            <v xml:space="preserve"> </v>
          </cell>
        </row>
        <row r="2605">
          <cell r="A2605" t="str">
            <v xml:space="preserve"> </v>
          </cell>
        </row>
        <row r="2606">
          <cell r="A2606" t="str">
            <v xml:space="preserve"> </v>
          </cell>
        </row>
        <row r="2607">
          <cell r="A2607" t="str">
            <v xml:space="preserve"> </v>
          </cell>
        </row>
        <row r="2608">
          <cell r="A2608" t="str">
            <v xml:space="preserve"> </v>
          </cell>
        </row>
        <row r="2609">
          <cell r="A2609" t="str">
            <v xml:space="preserve"> </v>
          </cell>
        </row>
        <row r="2610">
          <cell r="A2610" t="str">
            <v xml:space="preserve"> </v>
          </cell>
        </row>
        <row r="2611">
          <cell r="A2611" t="str">
            <v xml:space="preserve"> </v>
          </cell>
        </row>
        <row r="2612">
          <cell r="A2612" t="str">
            <v xml:space="preserve"> </v>
          </cell>
        </row>
        <row r="2613">
          <cell r="A2613" t="str">
            <v xml:space="preserve"> </v>
          </cell>
        </row>
        <row r="2614">
          <cell r="A2614" t="str">
            <v xml:space="preserve"> </v>
          </cell>
        </row>
        <row r="2615">
          <cell r="A2615" t="str">
            <v xml:space="preserve"> </v>
          </cell>
        </row>
        <row r="2616">
          <cell r="A2616" t="str">
            <v xml:space="preserve"> </v>
          </cell>
        </row>
        <row r="2617">
          <cell r="A2617" t="str">
            <v xml:space="preserve"> </v>
          </cell>
        </row>
        <row r="2618">
          <cell r="A2618" t="str">
            <v xml:space="preserve"> </v>
          </cell>
        </row>
        <row r="2619">
          <cell r="A2619" t="str">
            <v xml:space="preserve"> </v>
          </cell>
        </row>
        <row r="2620">
          <cell r="A2620" t="str">
            <v xml:space="preserve"> </v>
          </cell>
        </row>
        <row r="2621">
          <cell r="A2621" t="str">
            <v xml:space="preserve"> </v>
          </cell>
        </row>
        <row r="2622">
          <cell r="A2622" t="str">
            <v xml:space="preserve"> </v>
          </cell>
        </row>
        <row r="2623">
          <cell r="A2623" t="str">
            <v xml:space="preserve"> </v>
          </cell>
        </row>
        <row r="2624">
          <cell r="A2624" t="str">
            <v xml:space="preserve"> </v>
          </cell>
        </row>
        <row r="2625">
          <cell r="A2625" t="str">
            <v xml:space="preserve"> </v>
          </cell>
        </row>
        <row r="2626">
          <cell r="A2626" t="str">
            <v xml:space="preserve"> </v>
          </cell>
        </row>
        <row r="2627">
          <cell r="A2627" t="str">
            <v xml:space="preserve"> </v>
          </cell>
        </row>
        <row r="2628">
          <cell r="A2628" t="str">
            <v xml:space="preserve"> </v>
          </cell>
        </row>
        <row r="2629">
          <cell r="A2629" t="str">
            <v xml:space="preserve"> </v>
          </cell>
        </row>
        <row r="2630">
          <cell r="A2630" t="str">
            <v xml:space="preserve"> </v>
          </cell>
        </row>
        <row r="2631">
          <cell r="A2631" t="str">
            <v xml:space="preserve"> </v>
          </cell>
        </row>
        <row r="2632">
          <cell r="A2632" t="str">
            <v xml:space="preserve"> </v>
          </cell>
        </row>
        <row r="2633">
          <cell r="A2633" t="str">
            <v xml:space="preserve"> </v>
          </cell>
        </row>
        <row r="2634">
          <cell r="A2634" t="str">
            <v xml:space="preserve"> </v>
          </cell>
        </row>
        <row r="2635">
          <cell r="A2635" t="str">
            <v xml:space="preserve"> </v>
          </cell>
        </row>
        <row r="2636">
          <cell r="A2636" t="str">
            <v xml:space="preserve"> </v>
          </cell>
        </row>
        <row r="2637">
          <cell r="A2637" t="str">
            <v xml:space="preserve"> </v>
          </cell>
        </row>
        <row r="2638">
          <cell r="A2638" t="str">
            <v xml:space="preserve"> </v>
          </cell>
        </row>
        <row r="2639">
          <cell r="A2639" t="str">
            <v xml:space="preserve"> </v>
          </cell>
        </row>
        <row r="2640">
          <cell r="A2640" t="str">
            <v xml:space="preserve"> </v>
          </cell>
        </row>
        <row r="2641">
          <cell r="A2641" t="str">
            <v xml:space="preserve"> </v>
          </cell>
        </row>
        <row r="2642">
          <cell r="A2642" t="str">
            <v xml:space="preserve"> </v>
          </cell>
        </row>
        <row r="2643">
          <cell r="A2643" t="str">
            <v xml:space="preserve"> </v>
          </cell>
        </row>
        <row r="2644">
          <cell r="A2644" t="str">
            <v xml:space="preserve"> </v>
          </cell>
        </row>
        <row r="2645">
          <cell r="A2645" t="str">
            <v xml:space="preserve"> </v>
          </cell>
        </row>
        <row r="2646">
          <cell r="A2646" t="str">
            <v xml:space="preserve"> </v>
          </cell>
        </row>
        <row r="2647">
          <cell r="A2647" t="str">
            <v xml:space="preserve"> </v>
          </cell>
        </row>
        <row r="2648">
          <cell r="A2648" t="str">
            <v xml:space="preserve"> </v>
          </cell>
        </row>
        <row r="2649">
          <cell r="A2649" t="str">
            <v xml:space="preserve"> </v>
          </cell>
        </row>
        <row r="2650">
          <cell r="A2650" t="str">
            <v xml:space="preserve"> </v>
          </cell>
        </row>
        <row r="2651">
          <cell r="A2651" t="str">
            <v xml:space="preserve"> </v>
          </cell>
        </row>
        <row r="2652">
          <cell r="A2652" t="str">
            <v xml:space="preserve"> </v>
          </cell>
        </row>
        <row r="2653">
          <cell r="A2653" t="str">
            <v xml:space="preserve"> </v>
          </cell>
        </row>
        <row r="2654">
          <cell r="A2654" t="str">
            <v xml:space="preserve"> </v>
          </cell>
        </row>
        <row r="2655">
          <cell r="A2655" t="str">
            <v xml:space="preserve"> </v>
          </cell>
        </row>
        <row r="2656">
          <cell r="A2656" t="str">
            <v xml:space="preserve"> </v>
          </cell>
        </row>
        <row r="2657">
          <cell r="A2657" t="str">
            <v xml:space="preserve"> </v>
          </cell>
        </row>
        <row r="2658">
          <cell r="A2658" t="str">
            <v xml:space="preserve"> </v>
          </cell>
        </row>
        <row r="2659">
          <cell r="A2659" t="str">
            <v xml:space="preserve"> </v>
          </cell>
        </row>
        <row r="2660">
          <cell r="A2660" t="str">
            <v xml:space="preserve"> </v>
          </cell>
        </row>
        <row r="2661">
          <cell r="A2661" t="str">
            <v xml:space="preserve"> </v>
          </cell>
        </row>
        <row r="2662">
          <cell r="A2662" t="str">
            <v xml:space="preserve"> </v>
          </cell>
        </row>
        <row r="2663">
          <cell r="A2663" t="str">
            <v xml:space="preserve"> </v>
          </cell>
        </row>
        <row r="2664">
          <cell r="A2664" t="str">
            <v xml:space="preserve"> </v>
          </cell>
        </row>
        <row r="2665">
          <cell r="A2665" t="str">
            <v xml:space="preserve"> </v>
          </cell>
        </row>
        <row r="2666">
          <cell r="A2666" t="str">
            <v xml:space="preserve"> </v>
          </cell>
        </row>
        <row r="2667">
          <cell r="A2667" t="str">
            <v xml:space="preserve"> </v>
          </cell>
        </row>
        <row r="2668">
          <cell r="A2668" t="str">
            <v xml:space="preserve"> </v>
          </cell>
        </row>
        <row r="2669">
          <cell r="A2669" t="str">
            <v xml:space="preserve"> </v>
          </cell>
        </row>
        <row r="2670">
          <cell r="A2670" t="str">
            <v xml:space="preserve"> </v>
          </cell>
        </row>
        <row r="2671">
          <cell r="A2671" t="str">
            <v xml:space="preserve"> </v>
          </cell>
        </row>
        <row r="2672">
          <cell r="A2672" t="str">
            <v xml:space="preserve"> </v>
          </cell>
        </row>
        <row r="2673">
          <cell r="A2673" t="str">
            <v xml:space="preserve"> </v>
          </cell>
        </row>
        <row r="2674">
          <cell r="A2674" t="str">
            <v xml:space="preserve"> </v>
          </cell>
        </row>
        <row r="2675">
          <cell r="A2675" t="str">
            <v xml:space="preserve"> </v>
          </cell>
        </row>
        <row r="2676">
          <cell r="A2676" t="str">
            <v xml:space="preserve"> </v>
          </cell>
        </row>
        <row r="2677">
          <cell r="A2677" t="str">
            <v xml:space="preserve"> </v>
          </cell>
        </row>
        <row r="2678">
          <cell r="A2678" t="str">
            <v xml:space="preserve"> </v>
          </cell>
        </row>
        <row r="2679">
          <cell r="A2679" t="str">
            <v xml:space="preserve"> </v>
          </cell>
        </row>
        <row r="2680">
          <cell r="A2680" t="str">
            <v xml:space="preserve"> </v>
          </cell>
        </row>
        <row r="2681">
          <cell r="A2681" t="str">
            <v xml:space="preserve"> </v>
          </cell>
        </row>
        <row r="2682">
          <cell r="A2682" t="str">
            <v xml:space="preserve"> </v>
          </cell>
        </row>
        <row r="2683">
          <cell r="A2683" t="str">
            <v xml:space="preserve"> </v>
          </cell>
        </row>
        <row r="2684">
          <cell r="A2684" t="str">
            <v xml:space="preserve"> </v>
          </cell>
        </row>
        <row r="2685">
          <cell r="A2685" t="str">
            <v xml:space="preserve"> </v>
          </cell>
        </row>
        <row r="2686">
          <cell r="A2686" t="str">
            <v xml:space="preserve"> </v>
          </cell>
        </row>
        <row r="2687">
          <cell r="A2687" t="str">
            <v xml:space="preserve"> </v>
          </cell>
        </row>
        <row r="2688">
          <cell r="A2688" t="str">
            <v xml:space="preserve"> </v>
          </cell>
        </row>
        <row r="2689">
          <cell r="A2689" t="str">
            <v xml:space="preserve"> </v>
          </cell>
        </row>
        <row r="2690">
          <cell r="A2690" t="str">
            <v xml:space="preserve"> </v>
          </cell>
        </row>
        <row r="2691">
          <cell r="A2691" t="str">
            <v xml:space="preserve"> </v>
          </cell>
        </row>
        <row r="2692">
          <cell r="A2692" t="str">
            <v xml:space="preserve"> </v>
          </cell>
        </row>
        <row r="2693">
          <cell r="A2693" t="str">
            <v xml:space="preserve"> </v>
          </cell>
        </row>
        <row r="2694">
          <cell r="A2694" t="str">
            <v xml:space="preserve"> </v>
          </cell>
        </row>
        <row r="2695">
          <cell r="A2695" t="str">
            <v xml:space="preserve"> </v>
          </cell>
        </row>
        <row r="2696">
          <cell r="A2696" t="str">
            <v xml:space="preserve"> </v>
          </cell>
        </row>
        <row r="2697">
          <cell r="A2697" t="str">
            <v xml:space="preserve"> </v>
          </cell>
        </row>
        <row r="2698">
          <cell r="A2698" t="str">
            <v xml:space="preserve"> </v>
          </cell>
        </row>
        <row r="2699">
          <cell r="A2699" t="str">
            <v xml:space="preserve"> </v>
          </cell>
        </row>
        <row r="2700">
          <cell r="A2700" t="str">
            <v xml:space="preserve"> </v>
          </cell>
        </row>
        <row r="2701">
          <cell r="A2701" t="str">
            <v xml:space="preserve"> </v>
          </cell>
        </row>
        <row r="2702">
          <cell r="A2702" t="str">
            <v xml:space="preserve"> </v>
          </cell>
        </row>
        <row r="2703">
          <cell r="A2703" t="str">
            <v xml:space="preserve"> </v>
          </cell>
        </row>
        <row r="2704">
          <cell r="A2704" t="str">
            <v xml:space="preserve"> </v>
          </cell>
        </row>
        <row r="2705">
          <cell r="A2705" t="str">
            <v xml:space="preserve"> </v>
          </cell>
        </row>
        <row r="2706">
          <cell r="A2706" t="str">
            <v xml:space="preserve"> </v>
          </cell>
        </row>
        <row r="2707">
          <cell r="A2707" t="str">
            <v xml:space="preserve"> </v>
          </cell>
        </row>
        <row r="2708">
          <cell r="A2708" t="str">
            <v xml:space="preserve"> </v>
          </cell>
        </row>
        <row r="2709">
          <cell r="A2709" t="str">
            <v xml:space="preserve"> </v>
          </cell>
        </row>
        <row r="2710">
          <cell r="A2710" t="str">
            <v xml:space="preserve"> </v>
          </cell>
        </row>
        <row r="2711">
          <cell r="A2711" t="str">
            <v xml:space="preserve"> </v>
          </cell>
        </row>
        <row r="2712">
          <cell r="A2712" t="str">
            <v xml:space="preserve"> </v>
          </cell>
        </row>
        <row r="2713">
          <cell r="A2713" t="str">
            <v xml:space="preserve"> </v>
          </cell>
        </row>
        <row r="2714">
          <cell r="A2714" t="str">
            <v xml:space="preserve"> </v>
          </cell>
        </row>
        <row r="2715">
          <cell r="A2715" t="str">
            <v xml:space="preserve"> </v>
          </cell>
        </row>
        <row r="2716">
          <cell r="A2716" t="str">
            <v xml:space="preserve"> </v>
          </cell>
        </row>
        <row r="2717">
          <cell r="A2717" t="str">
            <v xml:space="preserve"> </v>
          </cell>
        </row>
        <row r="2718">
          <cell r="A2718" t="str">
            <v xml:space="preserve"> </v>
          </cell>
        </row>
        <row r="2719">
          <cell r="A2719" t="str">
            <v xml:space="preserve"> </v>
          </cell>
        </row>
        <row r="2720">
          <cell r="A2720" t="str">
            <v xml:space="preserve"> </v>
          </cell>
        </row>
        <row r="2721">
          <cell r="A2721" t="str">
            <v xml:space="preserve"> </v>
          </cell>
        </row>
        <row r="2722">
          <cell r="A2722" t="str">
            <v xml:space="preserve"> </v>
          </cell>
        </row>
        <row r="2723">
          <cell r="A2723" t="str">
            <v xml:space="preserve"> </v>
          </cell>
        </row>
        <row r="2724">
          <cell r="A2724" t="str">
            <v xml:space="preserve"> </v>
          </cell>
        </row>
        <row r="2725">
          <cell r="A2725" t="str">
            <v xml:space="preserve"> </v>
          </cell>
        </row>
        <row r="2726">
          <cell r="A2726" t="str">
            <v xml:space="preserve"> </v>
          </cell>
        </row>
        <row r="2727">
          <cell r="A2727" t="str">
            <v xml:space="preserve"> </v>
          </cell>
        </row>
        <row r="2728">
          <cell r="A2728" t="str">
            <v xml:space="preserve"> </v>
          </cell>
        </row>
        <row r="2729">
          <cell r="A2729" t="str">
            <v xml:space="preserve"> </v>
          </cell>
        </row>
        <row r="2730">
          <cell r="A2730" t="str">
            <v xml:space="preserve"> </v>
          </cell>
        </row>
        <row r="2731">
          <cell r="A2731" t="str">
            <v xml:space="preserve"> </v>
          </cell>
        </row>
        <row r="2732">
          <cell r="A2732" t="str">
            <v xml:space="preserve"> </v>
          </cell>
        </row>
        <row r="2733">
          <cell r="A2733" t="str">
            <v xml:space="preserve"> </v>
          </cell>
        </row>
        <row r="2734">
          <cell r="A2734" t="str">
            <v xml:space="preserve"> </v>
          </cell>
        </row>
        <row r="2735">
          <cell r="A2735" t="str">
            <v xml:space="preserve"> </v>
          </cell>
        </row>
        <row r="2736">
          <cell r="A2736" t="str">
            <v xml:space="preserve"> </v>
          </cell>
        </row>
        <row r="2737">
          <cell r="A2737" t="str">
            <v xml:space="preserve"> </v>
          </cell>
        </row>
        <row r="2738">
          <cell r="A2738" t="str">
            <v xml:space="preserve"> </v>
          </cell>
        </row>
        <row r="2739">
          <cell r="A2739" t="str">
            <v xml:space="preserve"> </v>
          </cell>
        </row>
        <row r="2740">
          <cell r="A2740" t="str">
            <v xml:space="preserve"> </v>
          </cell>
        </row>
        <row r="2741">
          <cell r="A2741" t="str">
            <v xml:space="preserve"> </v>
          </cell>
        </row>
        <row r="2742">
          <cell r="A2742" t="str">
            <v xml:space="preserve"> </v>
          </cell>
        </row>
        <row r="2743">
          <cell r="A2743" t="str">
            <v xml:space="preserve"> </v>
          </cell>
        </row>
        <row r="2744">
          <cell r="A2744" t="str">
            <v xml:space="preserve"> </v>
          </cell>
        </row>
        <row r="2745">
          <cell r="A2745" t="str">
            <v xml:space="preserve"> </v>
          </cell>
        </row>
        <row r="2746">
          <cell r="A2746" t="str">
            <v xml:space="preserve"> </v>
          </cell>
        </row>
        <row r="2747">
          <cell r="A2747" t="str">
            <v xml:space="preserve"> </v>
          </cell>
        </row>
        <row r="2748">
          <cell r="A2748" t="str">
            <v xml:space="preserve"> </v>
          </cell>
        </row>
        <row r="2749">
          <cell r="A2749" t="str">
            <v xml:space="preserve"> </v>
          </cell>
        </row>
        <row r="2750">
          <cell r="A2750" t="str">
            <v xml:space="preserve"> </v>
          </cell>
        </row>
        <row r="2751">
          <cell r="A2751" t="str">
            <v xml:space="preserve"> </v>
          </cell>
        </row>
        <row r="2752">
          <cell r="A2752" t="str">
            <v xml:space="preserve"> </v>
          </cell>
        </row>
        <row r="2753">
          <cell r="A2753" t="str">
            <v xml:space="preserve"> </v>
          </cell>
        </row>
        <row r="2754">
          <cell r="A2754" t="str">
            <v xml:space="preserve"> </v>
          </cell>
        </row>
        <row r="2755">
          <cell r="A2755" t="str">
            <v xml:space="preserve"> </v>
          </cell>
        </row>
        <row r="2756">
          <cell r="A2756" t="str">
            <v xml:space="preserve"> </v>
          </cell>
        </row>
        <row r="2757">
          <cell r="A2757" t="str">
            <v xml:space="preserve"> </v>
          </cell>
        </row>
        <row r="2758">
          <cell r="A2758" t="str">
            <v xml:space="preserve"> </v>
          </cell>
        </row>
        <row r="2759">
          <cell r="A2759" t="str">
            <v xml:space="preserve"> </v>
          </cell>
        </row>
        <row r="2760">
          <cell r="A2760" t="str">
            <v xml:space="preserve"> </v>
          </cell>
        </row>
        <row r="2761">
          <cell r="A2761" t="str">
            <v xml:space="preserve"> </v>
          </cell>
        </row>
        <row r="2762">
          <cell r="A2762" t="str">
            <v xml:space="preserve"> </v>
          </cell>
        </row>
        <row r="2763">
          <cell r="A2763" t="str">
            <v xml:space="preserve"> </v>
          </cell>
        </row>
        <row r="2764">
          <cell r="A2764" t="str">
            <v xml:space="preserve"> </v>
          </cell>
        </row>
        <row r="2765">
          <cell r="A2765" t="str">
            <v xml:space="preserve"> </v>
          </cell>
        </row>
        <row r="2766">
          <cell r="A2766" t="str">
            <v xml:space="preserve"> </v>
          </cell>
        </row>
        <row r="2767">
          <cell r="A2767" t="str">
            <v xml:space="preserve"> </v>
          </cell>
        </row>
        <row r="2768">
          <cell r="A2768" t="str">
            <v xml:space="preserve"> </v>
          </cell>
        </row>
        <row r="2769">
          <cell r="A2769" t="str">
            <v xml:space="preserve"> </v>
          </cell>
        </row>
        <row r="2770">
          <cell r="A2770" t="str">
            <v xml:space="preserve"> </v>
          </cell>
        </row>
        <row r="2771">
          <cell r="A2771" t="str">
            <v xml:space="preserve"> </v>
          </cell>
        </row>
        <row r="2772">
          <cell r="A2772" t="str">
            <v xml:space="preserve"> </v>
          </cell>
        </row>
        <row r="2773">
          <cell r="A2773" t="str">
            <v xml:space="preserve"> </v>
          </cell>
        </row>
        <row r="2774">
          <cell r="A2774" t="str">
            <v xml:space="preserve"> </v>
          </cell>
        </row>
        <row r="2775">
          <cell r="A2775" t="str">
            <v xml:space="preserve"> </v>
          </cell>
        </row>
        <row r="2776">
          <cell r="A2776" t="str">
            <v xml:space="preserve"> </v>
          </cell>
        </row>
        <row r="2777">
          <cell r="A2777" t="str">
            <v xml:space="preserve"> </v>
          </cell>
        </row>
        <row r="2778">
          <cell r="A2778" t="str">
            <v xml:space="preserve"> </v>
          </cell>
        </row>
        <row r="2779">
          <cell r="A2779" t="str">
            <v xml:space="preserve"> </v>
          </cell>
        </row>
        <row r="2780">
          <cell r="A2780" t="str">
            <v xml:space="preserve"> </v>
          </cell>
        </row>
        <row r="2781">
          <cell r="A2781" t="str">
            <v xml:space="preserve"> </v>
          </cell>
        </row>
        <row r="2782">
          <cell r="A2782" t="str">
            <v xml:space="preserve"> </v>
          </cell>
        </row>
        <row r="2783">
          <cell r="A2783" t="str">
            <v xml:space="preserve"> </v>
          </cell>
        </row>
        <row r="2784">
          <cell r="A2784" t="str">
            <v xml:space="preserve"> </v>
          </cell>
        </row>
        <row r="2785">
          <cell r="A2785" t="str">
            <v xml:space="preserve"> </v>
          </cell>
        </row>
        <row r="2786">
          <cell r="A2786" t="str">
            <v xml:space="preserve"> </v>
          </cell>
        </row>
        <row r="2787">
          <cell r="A2787" t="str">
            <v xml:space="preserve"> </v>
          </cell>
        </row>
        <row r="2788">
          <cell r="A2788" t="str">
            <v xml:space="preserve"> </v>
          </cell>
        </row>
        <row r="2789">
          <cell r="A2789" t="str">
            <v xml:space="preserve"> </v>
          </cell>
        </row>
        <row r="2790">
          <cell r="A2790" t="str">
            <v xml:space="preserve"> </v>
          </cell>
        </row>
        <row r="2791">
          <cell r="A2791" t="str">
            <v xml:space="preserve"> </v>
          </cell>
        </row>
        <row r="2792">
          <cell r="A2792" t="str">
            <v xml:space="preserve"> </v>
          </cell>
        </row>
        <row r="2793">
          <cell r="A2793" t="str">
            <v xml:space="preserve"> </v>
          </cell>
        </row>
        <row r="2794">
          <cell r="A2794" t="str">
            <v xml:space="preserve"> </v>
          </cell>
        </row>
        <row r="2795">
          <cell r="A2795" t="str">
            <v xml:space="preserve"> </v>
          </cell>
        </row>
        <row r="2796">
          <cell r="A2796" t="str">
            <v xml:space="preserve"> </v>
          </cell>
        </row>
        <row r="2797">
          <cell r="A2797" t="str">
            <v xml:space="preserve"> </v>
          </cell>
        </row>
        <row r="2798">
          <cell r="A2798" t="str">
            <v xml:space="preserve"> </v>
          </cell>
        </row>
        <row r="2799">
          <cell r="A2799" t="str">
            <v xml:space="preserve"> </v>
          </cell>
        </row>
        <row r="2800">
          <cell r="A2800" t="str">
            <v xml:space="preserve"> </v>
          </cell>
        </row>
        <row r="2801">
          <cell r="A2801" t="str">
            <v xml:space="preserve"> </v>
          </cell>
        </row>
        <row r="2802">
          <cell r="A2802" t="str">
            <v xml:space="preserve"> </v>
          </cell>
        </row>
        <row r="2803">
          <cell r="A2803" t="str">
            <v xml:space="preserve"> </v>
          </cell>
        </row>
        <row r="2804">
          <cell r="A2804" t="str">
            <v xml:space="preserve"> </v>
          </cell>
        </row>
        <row r="2805">
          <cell r="A2805" t="str">
            <v xml:space="preserve"> </v>
          </cell>
        </row>
        <row r="2806">
          <cell r="A2806" t="str">
            <v xml:space="preserve"> </v>
          </cell>
        </row>
        <row r="2807">
          <cell r="A2807" t="str">
            <v xml:space="preserve"> </v>
          </cell>
        </row>
        <row r="2808">
          <cell r="A2808" t="str">
            <v xml:space="preserve"> </v>
          </cell>
        </row>
        <row r="2809">
          <cell r="A2809" t="str">
            <v xml:space="preserve"> </v>
          </cell>
        </row>
        <row r="2810">
          <cell r="A2810" t="str">
            <v xml:space="preserve"> </v>
          </cell>
        </row>
        <row r="2811">
          <cell r="A2811" t="str">
            <v xml:space="preserve"> </v>
          </cell>
        </row>
        <row r="2812">
          <cell r="A2812" t="str">
            <v xml:space="preserve"> </v>
          </cell>
        </row>
        <row r="2813">
          <cell r="A2813" t="str">
            <v xml:space="preserve"> </v>
          </cell>
        </row>
        <row r="2814">
          <cell r="A2814" t="str">
            <v xml:space="preserve"> </v>
          </cell>
        </row>
        <row r="2815">
          <cell r="A2815" t="str">
            <v xml:space="preserve"> </v>
          </cell>
        </row>
        <row r="2816">
          <cell r="A2816" t="str">
            <v xml:space="preserve"> </v>
          </cell>
        </row>
        <row r="2817">
          <cell r="A2817" t="str">
            <v xml:space="preserve"> </v>
          </cell>
        </row>
        <row r="2818">
          <cell r="A2818" t="str">
            <v xml:space="preserve"> </v>
          </cell>
        </row>
        <row r="2819">
          <cell r="A2819" t="str">
            <v xml:space="preserve"> </v>
          </cell>
        </row>
        <row r="2820">
          <cell r="A2820" t="str">
            <v xml:space="preserve"> </v>
          </cell>
        </row>
        <row r="2821">
          <cell r="A2821" t="str">
            <v xml:space="preserve"> </v>
          </cell>
        </row>
        <row r="2822">
          <cell r="A2822" t="str">
            <v xml:space="preserve"> </v>
          </cell>
        </row>
        <row r="2823">
          <cell r="A2823" t="str">
            <v xml:space="preserve"> </v>
          </cell>
        </row>
        <row r="2824">
          <cell r="A2824" t="str">
            <v xml:space="preserve"> </v>
          </cell>
        </row>
        <row r="2825">
          <cell r="A2825" t="str">
            <v xml:space="preserve"> </v>
          </cell>
        </row>
        <row r="2826">
          <cell r="A2826" t="str">
            <v xml:space="preserve"> </v>
          </cell>
        </row>
        <row r="2827">
          <cell r="A2827" t="str">
            <v xml:space="preserve"> </v>
          </cell>
        </row>
        <row r="2828">
          <cell r="A2828" t="str">
            <v xml:space="preserve"> </v>
          </cell>
        </row>
        <row r="2829">
          <cell r="A2829" t="str">
            <v xml:space="preserve"> </v>
          </cell>
        </row>
        <row r="2830">
          <cell r="A2830" t="str">
            <v xml:space="preserve"> </v>
          </cell>
        </row>
        <row r="2831">
          <cell r="A2831" t="str">
            <v xml:space="preserve"> </v>
          </cell>
        </row>
        <row r="2832">
          <cell r="A2832" t="str">
            <v xml:space="preserve"> </v>
          </cell>
        </row>
        <row r="2833">
          <cell r="A2833" t="str">
            <v xml:space="preserve"> </v>
          </cell>
        </row>
        <row r="2834">
          <cell r="A2834" t="str">
            <v xml:space="preserve"> </v>
          </cell>
        </row>
        <row r="2835">
          <cell r="A2835" t="str">
            <v xml:space="preserve"> </v>
          </cell>
        </row>
        <row r="2836">
          <cell r="A2836" t="str">
            <v xml:space="preserve"> </v>
          </cell>
        </row>
        <row r="2837">
          <cell r="A2837" t="str">
            <v xml:space="preserve"> </v>
          </cell>
        </row>
        <row r="2838">
          <cell r="A2838" t="str">
            <v xml:space="preserve"> </v>
          </cell>
        </row>
        <row r="2839">
          <cell r="A2839" t="str">
            <v xml:space="preserve"> </v>
          </cell>
        </row>
        <row r="2840">
          <cell r="A2840" t="str">
            <v xml:space="preserve"> </v>
          </cell>
        </row>
        <row r="2841">
          <cell r="A2841" t="str">
            <v xml:space="preserve"> </v>
          </cell>
        </row>
        <row r="2842">
          <cell r="A2842" t="str">
            <v xml:space="preserve"> </v>
          </cell>
        </row>
        <row r="2843">
          <cell r="A2843" t="str">
            <v xml:space="preserve"> </v>
          </cell>
        </row>
        <row r="2844">
          <cell r="A2844" t="str">
            <v xml:space="preserve"> </v>
          </cell>
        </row>
        <row r="2845">
          <cell r="A2845" t="str">
            <v xml:space="preserve"> </v>
          </cell>
        </row>
        <row r="2846">
          <cell r="A2846" t="str">
            <v xml:space="preserve"> </v>
          </cell>
        </row>
        <row r="2847">
          <cell r="A2847" t="str">
            <v xml:space="preserve"> </v>
          </cell>
        </row>
        <row r="2848">
          <cell r="A2848" t="str">
            <v xml:space="preserve"> </v>
          </cell>
        </row>
        <row r="2849">
          <cell r="A2849" t="str">
            <v xml:space="preserve"> </v>
          </cell>
        </row>
        <row r="2850">
          <cell r="A2850" t="str">
            <v xml:space="preserve"> </v>
          </cell>
        </row>
        <row r="2851">
          <cell r="A2851" t="str">
            <v xml:space="preserve"> </v>
          </cell>
        </row>
        <row r="2852">
          <cell r="A2852" t="str">
            <v xml:space="preserve"> </v>
          </cell>
        </row>
        <row r="2853">
          <cell r="A2853" t="str">
            <v xml:space="preserve"> </v>
          </cell>
        </row>
        <row r="2854">
          <cell r="A2854" t="str">
            <v xml:space="preserve"> </v>
          </cell>
        </row>
        <row r="2855">
          <cell r="A2855" t="str">
            <v xml:space="preserve"> </v>
          </cell>
        </row>
        <row r="2856">
          <cell r="A2856" t="str">
            <v xml:space="preserve"> </v>
          </cell>
        </row>
        <row r="2857">
          <cell r="A2857" t="str">
            <v xml:space="preserve"> </v>
          </cell>
        </row>
        <row r="2858">
          <cell r="A2858" t="str">
            <v xml:space="preserve"> </v>
          </cell>
        </row>
        <row r="2859">
          <cell r="A2859" t="str">
            <v xml:space="preserve"> </v>
          </cell>
        </row>
        <row r="2860">
          <cell r="A2860" t="str">
            <v xml:space="preserve"> </v>
          </cell>
        </row>
        <row r="2861">
          <cell r="A2861" t="str">
            <v xml:space="preserve"> </v>
          </cell>
        </row>
        <row r="2862">
          <cell r="A2862" t="str">
            <v xml:space="preserve"> </v>
          </cell>
        </row>
        <row r="2863">
          <cell r="A2863" t="str">
            <v xml:space="preserve"> </v>
          </cell>
        </row>
        <row r="2864">
          <cell r="A2864" t="str">
            <v xml:space="preserve"> </v>
          </cell>
        </row>
        <row r="2865">
          <cell r="A2865" t="str">
            <v xml:space="preserve"> </v>
          </cell>
        </row>
        <row r="2866">
          <cell r="A2866" t="str">
            <v xml:space="preserve"> </v>
          </cell>
        </row>
        <row r="2867">
          <cell r="A2867" t="str">
            <v xml:space="preserve"> </v>
          </cell>
        </row>
        <row r="2868">
          <cell r="A2868" t="str">
            <v xml:space="preserve"> </v>
          </cell>
        </row>
        <row r="2869">
          <cell r="A2869" t="str">
            <v xml:space="preserve"> </v>
          </cell>
        </row>
        <row r="2870">
          <cell r="A2870" t="str">
            <v xml:space="preserve"> </v>
          </cell>
        </row>
        <row r="2871">
          <cell r="A2871" t="str">
            <v xml:space="preserve"> </v>
          </cell>
        </row>
        <row r="2872">
          <cell r="A2872" t="str">
            <v xml:space="preserve"> </v>
          </cell>
        </row>
        <row r="2873">
          <cell r="A2873" t="str">
            <v xml:space="preserve"> </v>
          </cell>
        </row>
        <row r="2874">
          <cell r="A2874" t="str">
            <v xml:space="preserve"> </v>
          </cell>
        </row>
        <row r="2875">
          <cell r="A2875" t="str">
            <v xml:space="preserve"> </v>
          </cell>
        </row>
        <row r="2876">
          <cell r="A2876" t="str">
            <v xml:space="preserve"> </v>
          </cell>
        </row>
        <row r="2877">
          <cell r="A2877" t="str">
            <v xml:space="preserve"> </v>
          </cell>
        </row>
        <row r="2878">
          <cell r="A2878" t="str">
            <v xml:space="preserve"> </v>
          </cell>
        </row>
        <row r="2879">
          <cell r="A2879" t="str">
            <v xml:space="preserve"> </v>
          </cell>
        </row>
        <row r="2880">
          <cell r="A2880" t="str">
            <v xml:space="preserve"> </v>
          </cell>
        </row>
        <row r="2881">
          <cell r="A2881" t="str">
            <v xml:space="preserve"> </v>
          </cell>
        </row>
        <row r="2882">
          <cell r="A2882" t="str">
            <v xml:space="preserve"> </v>
          </cell>
        </row>
        <row r="2883">
          <cell r="A2883" t="str">
            <v xml:space="preserve"> </v>
          </cell>
        </row>
        <row r="2884">
          <cell r="A2884" t="str">
            <v xml:space="preserve"> </v>
          </cell>
        </row>
        <row r="2885">
          <cell r="A2885" t="str">
            <v xml:space="preserve"> </v>
          </cell>
        </row>
        <row r="2886">
          <cell r="A2886" t="str">
            <v xml:space="preserve"> </v>
          </cell>
        </row>
        <row r="2887">
          <cell r="A2887" t="str">
            <v xml:space="preserve"> </v>
          </cell>
        </row>
        <row r="2888">
          <cell r="A2888" t="str">
            <v xml:space="preserve"> </v>
          </cell>
        </row>
        <row r="2889">
          <cell r="A2889" t="str">
            <v xml:space="preserve"> </v>
          </cell>
        </row>
        <row r="2890">
          <cell r="A2890" t="str">
            <v xml:space="preserve"> </v>
          </cell>
        </row>
        <row r="2891">
          <cell r="A2891" t="str">
            <v xml:space="preserve"> </v>
          </cell>
        </row>
        <row r="2892">
          <cell r="A2892" t="str">
            <v xml:space="preserve"> </v>
          </cell>
        </row>
        <row r="2893">
          <cell r="A2893" t="str">
            <v xml:space="preserve"> </v>
          </cell>
        </row>
        <row r="2894">
          <cell r="A2894" t="str">
            <v xml:space="preserve"> </v>
          </cell>
        </row>
        <row r="2895">
          <cell r="A2895" t="str">
            <v xml:space="preserve"> </v>
          </cell>
        </row>
        <row r="2896">
          <cell r="A2896" t="str">
            <v xml:space="preserve"> </v>
          </cell>
        </row>
        <row r="2897">
          <cell r="A2897" t="str">
            <v xml:space="preserve"> </v>
          </cell>
        </row>
        <row r="2898">
          <cell r="A2898" t="str">
            <v xml:space="preserve"> </v>
          </cell>
        </row>
        <row r="2899">
          <cell r="A2899" t="str">
            <v xml:space="preserve"> </v>
          </cell>
        </row>
        <row r="2900">
          <cell r="A2900" t="str">
            <v xml:space="preserve"> </v>
          </cell>
        </row>
        <row r="2901">
          <cell r="A2901" t="str">
            <v xml:space="preserve"> </v>
          </cell>
        </row>
        <row r="2902">
          <cell r="A2902" t="str">
            <v xml:space="preserve"> </v>
          </cell>
        </row>
        <row r="2903">
          <cell r="A2903" t="str">
            <v xml:space="preserve"> </v>
          </cell>
        </row>
        <row r="2904">
          <cell r="A2904" t="str">
            <v xml:space="preserve"> </v>
          </cell>
        </row>
        <row r="2905">
          <cell r="A2905" t="str">
            <v xml:space="preserve"> </v>
          </cell>
        </row>
        <row r="2906">
          <cell r="A2906" t="str">
            <v xml:space="preserve"> </v>
          </cell>
        </row>
        <row r="2907">
          <cell r="A2907" t="str">
            <v xml:space="preserve"> </v>
          </cell>
        </row>
        <row r="2908">
          <cell r="A2908" t="str">
            <v xml:space="preserve"> </v>
          </cell>
        </row>
        <row r="2909">
          <cell r="A2909" t="str">
            <v xml:space="preserve"> </v>
          </cell>
        </row>
        <row r="2910">
          <cell r="A2910" t="str">
            <v xml:space="preserve"> </v>
          </cell>
        </row>
        <row r="2911">
          <cell r="A2911" t="str">
            <v xml:space="preserve"> </v>
          </cell>
        </row>
        <row r="2912">
          <cell r="A2912" t="str">
            <v xml:space="preserve"> </v>
          </cell>
        </row>
        <row r="2913">
          <cell r="A2913" t="str">
            <v xml:space="preserve"> </v>
          </cell>
        </row>
        <row r="2914">
          <cell r="A2914" t="str">
            <v xml:space="preserve"> </v>
          </cell>
        </row>
        <row r="2915">
          <cell r="A2915" t="str">
            <v xml:space="preserve"> </v>
          </cell>
        </row>
        <row r="2916">
          <cell r="A2916" t="str">
            <v xml:space="preserve"> </v>
          </cell>
        </row>
        <row r="2917">
          <cell r="A2917" t="str">
            <v xml:space="preserve"> </v>
          </cell>
        </row>
        <row r="2918">
          <cell r="A2918" t="str">
            <v xml:space="preserve"> </v>
          </cell>
        </row>
        <row r="2919">
          <cell r="A2919" t="str">
            <v xml:space="preserve"> </v>
          </cell>
        </row>
        <row r="2920">
          <cell r="A2920" t="str">
            <v xml:space="preserve"> </v>
          </cell>
        </row>
        <row r="2921">
          <cell r="A2921" t="str">
            <v xml:space="preserve"> </v>
          </cell>
        </row>
        <row r="2922">
          <cell r="A2922" t="str">
            <v xml:space="preserve"> </v>
          </cell>
        </row>
        <row r="2923">
          <cell r="A2923" t="str">
            <v xml:space="preserve"> </v>
          </cell>
        </row>
        <row r="2924">
          <cell r="A2924" t="str">
            <v xml:space="preserve"> </v>
          </cell>
        </row>
        <row r="2925">
          <cell r="A2925" t="str">
            <v xml:space="preserve"> </v>
          </cell>
        </row>
        <row r="2926">
          <cell r="A2926" t="str">
            <v xml:space="preserve"> </v>
          </cell>
        </row>
        <row r="2927">
          <cell r="A2927" t="str">
            <v xml:space="preserve"> </v>
          </cell>
        </row>
        <row r="2928">
          <cell r="A2928" t="str">
            <v xml:space="preserve"> </v>
          </cell>
        </row>
        <row r="2929">
          <cell r="A2929" t="str">
            <v xml:space="preserve"> </v>
          </cell>
        </row>
        <row r="2930">
          <cell r="A2930" t="str">
            <v xml:space="preserve"> </v>
          </cell>
        </row>
        <row r="2931">
          <cell r="A2931" t="str">
            <v xml:space="preserve"> </v>
          </cell>
        </row>
        <row r="2932">
          <cell r="A2932" t="str">
            <v xml:space="preserve"> </v>
          </cell>
        </row>
        <row r="2933">
          <cell r="A2933" t="str">
            <v xml:space="preserve"> </v>
          </cell>
        </row>
        <row r="2934">
          <cell r="A2934" t="str">
            <v xml:space="preserve"> </v>
          </cell>
        </row>
        <row r="2935">
          <cell r="A2935" t="str">
            <v xml:space="preserve"> </v>
          </cell>
        </row>
        <row r="2936">
          <cell r="A2936" t="str">
            <v xml:space="preserve"> </v>
          </cell>
        </row>
        <row r="2937">
          <cell r="A2937" t="str">
            <v xml:space="preserve"> </v>
          </cell>
        </row>
        <row r="2938">
          <cell r="A2938" t="str">
            <v xml:space="preserve"> </v>
          </cell>
        </row>
        <row r="2939">
          <cell r="A2939" t="str">
            <v xml:space="preserve"> </v>
          </cell>
        </row>
        <row r="2940">
          <cell r="A2940" t="str">
            <v xml:space="preserve"> </v>
          </cell>
        </row>
        <row r="2941">
          <cell r="A2941" t="str">
            <v xml:space="preserve"> </v>
          </cell>
        </row>
        <row r="2942">
          <cell r="A2942" t="str">
            <v xml:space="preserve"> </v>
          </cell>
        </row>
        <row r="2943">
          <cell r="A2943" t="str">
            <v xml:space="preserve"> </v>
          </cell>
        </row>
        <row r="2944">
          <cell r="A2944" t="str">
            <v xml:space="preserve"> </v>
          </cell>
        </row>
        <row r="2945">
          <cell r="A2945" t="str">
            <v xml:space="preserve"> </v>
          </cell>
        </row>
        <row r="2946">
          <cell r="A2946" t="str">
            <v xml:space="preserve"> </v>
          </cell>
        </row>
        <row r="2947">
          <cell r="A2947" t="str">
            <v xml:space="preserve"> </v>
          </cell>
        </row>
        <row r="2948">
          <cell r="A2948" t="str">
            <v xml:space="preserve"> </v>
          </cell>
        </row>
        <row r="2949">
          <cell r="A2949" t="str">
            <v xml:space="preserve"> </v>
          </cell>
        </row>
        <row r="2950">
          <cell r="A2950" t="str">
            <v xml:space="preserve"> </v>
          </cell>
        </row>
        <row r="2951">
          <cell r="A2951" t="str">
            <v xml:space="preserve"> </v>
          </cell>
        </row>
        <row r="2952">
          <cell r="A2952" t="str">
            <v xml:space="preserve"> </v>
          </cell>
        </row>
        <row r="2953">
          <cell r="A2953" t="str">
            <v xml:space="preserve"> </v>
          </cell>
        </row>
        <row r="2954">
          <cell r="A2954" t="str">
            <v xml:space="preserve"> </v>
          </cell>
        </row>
        <row r="2955">
          <cell r="A2955" t="str">
            <v xml:space="preserve"> </v>
          </cell>
        </row>
        <row r="2956">
          <cell r="A2956" t="str">
            <v xml:space="preserve"> </v>
          </cell>
        </row>
        <row r="2957">
          <cell r="A2957" t="str">
            <v xml:space="preserve"> </v>
          </cell>
        </row>
        <row r="2958">
          <cell r="A2958" t="str">
            <v xml:space="preserve"> </v>
          </cell>
        </row>
        <row r="2959">
          <cell r="A2959" t="str">
            <v xml:space="preserve"> </v>
          </cell>
        </row>
        <row r="2960">
          <cell r="A2960" t="str">
            <v xml:space="preserve"> </v>
          </cell>
        </row>
        <row r="2961">
          <cell r="A2961" t="str">
            <v xml:space="preserve"> </v>
          </cell>
        </row>
        <row r="2962">
          <cell r="A2962" t="str">
            <v xml:space="preserve"> </v>
          </cell>
        </row>
        <row r="2963">
          <cell r="A2963" t="str">
            <v xml:space="preserve"> </v>
          </cell>
        </row>
        <row r="2964">
          <cell r="A2964" t="str">
            <v xml:space="preserve"> </v>
          </cell>
        </row>
        <row r="2965">
          <cell r="A2965" t="str">
            <v xml:space="preserve"> </v>
          </cell>
        </row>
        <row r="2966">
          <cell r="A2966" t="str">
            <v xml:space="preserve"> </v>
          </cell>
        </row>
        <row r="2967">
          <cell r="A2967" t="str">
            <v xml:space="preserve"> </v>
          </cell>
        </row>
        <row r="2968">
          <cell r="A2968" t="str">
            <v xml:space="preserve"> </v>
          </cell>
        </row>
        <row r="2969">
          <cell r="A2969" t="str">
            <v xml:space="preserve"> </v>
          </cell>
        </row>
        <row r="2970">
          <cell r="A2970" t="str">
            <v xml:space="preserve"> </v>
          </cell>
        </row>
        <row r="2971">
          <cell r="A2971" t="str">
            <v xml:space="preserve"> </v>
          </cell>
        </row>
        <row r="2972">
          <cell r="A2972" t="str">
            <v xml:space="preserve"> </v>
          </cell>
        </row>
        <row r="2973">
          <cell r="A2973" t="str">
            <v xml:space="preserve"> </v>
          </cell>
        </row>
        <row r="2974">
          <cell r="A2974" t="str">
            <v xml:space="preserve"> </v>
          </cell>
        </row>
        <row r="2975">
          <cell r="A2975" t="str">
            <v xml:space="preserve"> </v>
          </cell>
        </row>
        <row r="2976">
          <cell r="A2976" t="str">
            <v xml:space="preserve"> </v>
          </cell>
        </row>
        <row r="2977">
          <cell r="A2977" t="str">
            <v xml:space="preserve"> </v>
          </cell>
        </row>
        <row r="2978">
          <cell r="A2978" t="str">
            <v xml:space="preserve"> </v>
          </cell>
        </row>
        <row r="2979">
          <cell r="A2979" t="str">
            <v xml:space="preserve"> </v>
          </cell>
        </row>
        <row r="2980">
          <cell r="A2980" t="str">
            <v xml:space="preserve"> </v>
          </cell>
        </row>
        <row r="2981">
          <cell r="A2981" t="str">
            <v xml:space="preserve"> </v>
          </cell>
        </row>
        <row r="2982">
          <cell r="A2982" t="str">
            <v xml:space="preserve"> </v>
          </cell>
        </row>
        <row r="2983">
          <cell r="A2983" t="str">
            <v xml:space="preserve"> </v>
          </cell>
        </row>
        <row r="2984">
          <cell r="A2984" t="str">
            <v xml:space="preserve"> </v>
          </cell>
        </row>
        <row r="2985">
          <cell r="A2985" t="str">
            <v xml:space="preserve"> </v>
          </cell>
        </row>
        <row r="2986">
          <cell r="A2986" t="str">
            <v xml:space="preserve"> </v>
          </cell>
        </row>
        <row r="2987">
          <cell r="A2987" t="str">
            <v xml:space="preserve"> </v>
          </cell>
        </row>
        <row r="2988">
          <cell r="A2988" t="str">
            <v xml:space="preserve"> </v>
          </cell>
        </row>
        <row r="2989">
          <cell r="A2989" t="str">
            <v xml:space="preserve"> </v>
          </cell>
        </row>
        <row r="2990">
          <cell r="A2990" t="str">
            <v xml:space="preserve"> </v>
          </cell>
        </row>
        <row r="2991">
          <cell r="A2991" t="str">
            <v xml:space="preserve"> </v>
          </cell>
        </row>
        <row r="2992">
          <cell r="A2992" t="str">
            <v xml:space="preserve"> </v>
          </cell>
        </row>
        <row r="2993">
          <cell r="A2993" t="str">
            <v xml:space="preserve"> </v>
          </cell>
        </row>
        <row r="2994">
          <cell r="A2994" t="str">
            <v xml:space="preserve"> </v>
          </cell>
        </row>
        <row r="2995">
          <cell r="A2995" t="str">
            <v xml:space="preserve"> </v>
          </cell>
        </row>
        <row r="2996">
          <cell r="A2996" t="str">
            <v xml:space="preserve"> </v>
          </cell>
        </row>
        <row r="2997">
          <cell r="A2997" t="str">
            <v xml:space="preserve"> </v>
          </cell>
        </row>
        <row r="2998">
          <cell r="A2998" t="str">
            <v xml:space="preserve"> </v>
          </cell>
        </row>
        <row r="2999">
          <cell r="A2999" t="str">
            <v xml:space="preserve"> </v>
          </cell>
        </row>
        <row r="3000">
          <cell r="A3000" t="str">
            <v xml:space="preserve"> </v>
          </cell>
        </row>
        <row r="3001">
          <cell r="A3001" t="str">
            <v xml:space="preserve"> </v>
          </cell>
        </row>
        <row r="3002">
          <cell r="A3002" t="str">
            <v xml:space="preserve"> </v>
          </cell>
        </row>
        <row r="3003">
          <cell r="A3003" t="str">
            <v xml:space="preserve"> </v>
          </cell>
        </row>
        <row r="3004">
          <cell r="A3004" t="str">
            <v xml:space="preserve"> </v>
          </cell>
        </row>
        <row r="3005">
          <cell r="A3005" t="str">
            <v xml:space="preserve"> </v>
          </cell>
        </row>
        <row r="3006">
          <cell r="A3006" t="str">
            <v xml:space="preserve"> </v>
          </cell>
        </row>
        <row r="3007">
          <cell r="A3007" t="str">
            <v xml:space="preserve"> </v>
          </cell>
        </row>
        <row r="3008">
          <cell r="A3008" t="str">
            <v xml:space="preserve"> </v>
          </cell>
        </row>
        <row r="3009">
          <cell r="A3009" t="str">
            <v xml:space="preserve"> </v>
          </cell>
        </row>
        <row r="3010">
          <cell r="A3010" t="str">
            <v xml:space="preserve"> </v>
          </cell>
        </row>
        <row r="3011">
          <cell r="A3011" t="str">
            <v xml:space="preserve"> </v>
          </cell>
        </row>
        <row r="3012">
          <cell r="A3012" t="str">
            <v xml:space="preserve"> </v>
          </cell>
        </row>
        <row r="3013">
          <cell r="A3013" t="str">
            <v xml:space="preserve"> </v>
          </cell>
        </row>
        <row r="3014">
          <cell r="A3014" t="str">
            <v xml:space="preserve"> </v>
          </cell>
        </row>
        <row r="3015">
          <cell r="A3015" t="str">
            <v xml:space="preserve"> </v>
          </cell>
        </row>
        <row r="3016">
          <cell r="A3016" t="str">
            <v xml:space="preserve"> </v>
          </cell>
        </row>
        <row r="3017">
          <cell r="A3017" t="str">
            <v xml:space="preserve"> </v>
          </cell>
        </row>
        <row r="3018">
          <cell r="A3018" t="str">
            <v xml:space="preserve"> </v>
          </cell>
        </row>
        <row r="3019">
          <cell r="A3019" t="str">
            <v xml:space="preserve"> </v>
          </cell>
        </row>
        <row r="3020">
          <cell r="A3020" t="str">
            <v xml:space="preserve"> </v>
          </cell>
        </row>
        <row r="3021">
          <cell r="A3021" t="str">
            <v xml:space="preserve"> </v>
          </cell>
        </row>
        <row r="3022">
          <cell r="A3022" t="str">
            <v xml:space="preserve"> </v>
          </cell>
        </row>
        <row r="3023">
          <cell r="A3023" t="str">
            <v xml:space="preserve"> </v>
          </cell>
        </row>
        <row r="3024">
          <cell r="A3024" t="str">
            <v xml:space="preserve"> </v>
          </cell>
        </row>
        <row r="3025">
          <cell r="A3025" t="str">
            <v xml:space="preserve"> </v>
          </cell>
        </row>
        <row r="3026">
          <cell r="A3026" t="str">
            <v xml:space="preserve"> </v>
          </cell>
        </row>
        <row r="3027">
          <cell r="A3027" t="str">
            <v xml:space="preserve"> </v>
          </cell>
        </row>
        <row r="3028">
          <cell r="A3028" t="str">
            <v xml:space="preserve"> </v>
          </cell>
        </row>
        <row r="3029">
          <cell r="A3029" t="str">
            <v xml:space="preserve"> </v>
          </cell>
        </row>
        <row r="3030">
          <cell r="A3030" t="str">
            <v xml:space="preserve"> </v>
          </cell>
        </row>
        <row r="3031">
          <cell r="A3031" t="str">
            <v xml:space="preserve"> </v>
          </cell>
        </row>
        <row r="3032">
          <cell r="A3032" t="str">
            <v xml:space="preserve"> </v>
          </cell>
        </row>
        <row r="3033">
          <cell r="A3033" t="str">
            <v xml:space="preserve"> </v>
          </cell>
        </row>
        <row r="3034">
          <cell r="A3034" t="str">
            <v xml:space="preserve"> </v>
          </cell>
        </row>
        <row r="3035">
          <cell r="A3035" t="str">
            <v xml:space="preserve"> </v>
          </cell>
        </row>
        <row r="3036">
          <cell r="A3036" t="str">
            <v xml:space="preserve"> </v>
          </cell>
        </row>
        <row r="3037">
          <cell r="A3037" t="str">
            <v xml:space="preserve"> </v>
          </cell>
        </row>
        <row r="3038">
          <cell r="A3038" t="str">
            <v xml:space="preserve"> </v>
          </cell>
        </row>
        <row r="3039">
          <cell r="A3039" t="str">
            <v xml:space="preserve"> </v>
          </cell>
        </row>
        <row r="3040">
          <cell r="A3040" t="str">
            <v xml:space="preserve"> </v>
          </cell>
        </row>
        <row r="3041">
          <cell r="A3041" t="str">
            <v xml:space="preserve"> </v>
          </cell>
        </row>
        <row r="3042">
          <cell r="A3042" t="str">
            <v xml:space="preserve"> </v>
          </cell>
        </row>
        <row r="3043">
          <cell r="A3043" t="str">
            <v xml:space="preserve"> </v>
          </cell>
        </row>
        <row r="3044">
          <cell r="A3044" t="str">
            <v xml:space="preserve"> </v>
          </cell>
        </row>
        <row r="3045">
          <cell r="A3045" t="str">
            <v xml:space="preserve"> </v>
          </cell>
        </row>
        <row r="3046">
          <cell r="A3046" t="str">
            <v xml:space="preserve"> </v>
          </cell>
        </row>
        <row r="3047">
          <cell r="A3047" t="str">
            <v xml:space="preserve"> </v>
          </cell>
        </row>
        <row r="3048">
          <cell r="A3048" t="str">
            <v xml:space="preserve"> </v>
          </cell>
        </row>
        <row r="3049">
          <cell r="A3049" t="str">
            <v xml:space="preserve"> </v>
          </cell>
        </row>
        <row r="3050">
          <cell r="A3050" t="str">
            <v xml:space="preserve"> </v>
          </cell>
        </row>
        <row r="3051">
          <cell r="A3051" t="str">
            <v xml:space="preserve"> </v>
          </cell>
        </row>
        <row r="3052">
          <cell r="A3052" t="str">
            <v xml:space="preserve"> </v>
          </cell>
        </row>
        <row r="3053">
          <cell r="A3053" t="str">
            <v xml:space="preserve"> </v>
          </cell>
        </row>
        <row r="3054">
          <cell r="A3054" t="str">
            <v xml:space="preserve"> </v>
          </cell>
        </row>
        <row r="3055">
          <cell r="A3055" t="str">
            <v xml:space="preserve"> </v>
          </cell>
        </row>
        <row r="3056">
          <cell r="A3056" t="str">
            <v xml:space="preserve"> </v>
          </cell>
        </row>
        <row r="3057">
          <cell r="A3057" t="str">
            <v xml:space="preserve"> </v>
          </cell>
        </row>
        <row r="3058">
          <cell r="A3058" t="str">
            <v xml:space="preserve"> </v>
          </cell>
        </row>
        <row r="3059">
          <cell r="A3059" t="str">
            <v xml:space="preserve"> </v>
          </cell>
        </row>
        <row r="3060">
          <cell r="A3060" t="str">
            <v xml:space="preserve"> </v>
          </cell>
        </row>
        <row r="3061">
          <cell r="A3061" t="str">
            <v xml:space="preserve"> </v>
          </cell>
        </row>
        <row r="3062">
          <cell r="A3062" t="str">
            <v xml:space="preserve"> </v>
          </cell>
        </row>
        <row r="3063">
          <cell r="A3063" t="str">
            <v xml:space="preserve"> </v>
          </cell>
        </row>
        <row r="3064">
          <cell r="A3064" t="str">
            <v xml:space="preserve"> </v>
          </cell>
        </row>
        <row r="3065">
          <cell r="A3065" t="str">
            <v xml:space="preserve"> </v>
          </cell>
        </row>
        <row r="3066">
          <cell r="A3066" t="str">
            <v xml:space="preserve"> </v>
          </cell>
        </row>
        <row r="3067">
          <cell r="A3067" t="str">
            <v xml:space="preserve"> </v>
          </cell>
        </row>
        <row r="3068">
          <cell r="A3068" t="str">
            <v xml:space="preserve"> </v>
          </cell>
        </row>
        <row r="3069">
          <cell r="A3069" t="str">
            <v xml:space="preserve"> </v>
          </cell>
        </row>
        <row r="3070">
          <cell r="A3070" t="str">
            <v xml:space="preserve"> </v>
          </cell>
        </row>
        <row r="3071">
          <cell r="A3071" t="str">
            <v xml:space="preserve"> </v>
          </cell>
        </row>
        <row r="3072">
          <cell r="A3072" t="str">
            <v xml:space="preserve"> </v>
          </cell>
        </row>
        <row r="3073">
          <cell r="A3073" t="str">
            <v xml:space="preserve"> </v>
          </cell>
        </row>
        <row r="3074">
          <cell r="A3074" t="str">
            <v xml:space="preserve"> </v>
          </cell>
        </row>
        <row r="3075">
          <cell r="A3075" t="str">
            <v xml:space="preserve"> </v>
          </cell>
        </row>
        <row r="3076">
          <cell r="A3076" t="str">
            <v xml:space="preserve"> </v>
          </cell>
        </row>
        <row r="3077">
          <cell r="A3077" t="str">
            <v xml:space="preserve"> </v>
          </cell>
        </row>
        <row r="3078">
          <cell r="A3078" t="str">
            <v xml:space="preserve"> </v>
          </cell>
        </row>
        <row r="3079">
          <cell r="A3079" t="str">
            <v xml:space="preserve"> </v>
          </cell>
        </row>
        <row r="3080">
          <cell r="A3080" t="str">
            <v xml:space="preserve"> </v>
          </cell>
        </row>
        <row r="3081">
          <cell r="A3081" t="str">
            <v xml:space="preserve"> </v>
          </cell>
        </row>
        <row r="3082">
          <cell r="A3082" t="str">
            <v xml:space="preserve"> </v>
          </cell>
        </row>
        <row r="3083">
          <cell r="A3083" t="str">
            <v xml:space="preserve"> </v>
          </cell>
        </row>
        <row r="3084">
          <cell r="A3084" t="str">
            <v xml:space="preserve"> </v>
          </cell>
        </row>
        <row r="3085">
          <cell r="A3085" t="str">
            <v xml:space="preserve"> </v>
          </cell>
        </row>
        <row r="3086">
          <cell r="A3086" t="str">
            <v xml:space="preserve"> </v>
          </cell>
        </row>
        <row r="3087">
          <cell r="A3087" t="str">
            <v xml:space="preserve"> </v>
          </cell>
        </row>
        <row r="3088">
          <cell r="A3088" t="str">
            <v xml:space="preserve"> </v>
          </cell>
        </row>
        <row r="3089">
          <cell r="A3089" t="str">
            <v xml:space="preserve"> </v>
          </cell>
        </row>
        <row r="3090">
          <cell r="A3090" t="str">
            <v xml:space="preserve"> </v>
          </cell>
        </row>
        <row r="3091">
          <cell r="A3091" t="str">
            <v xml:space="preserve"> </v>
          </cell>
        </row>
        <row r="3092">
          <cell r="A3092" t="str">
            <v xml:space="preserve"> </v>
          </cell>
        </row>
        <row r="3093">
          <cell r="A3093" t="str">
            <v xml:space="preserve"> </v>
          </cell>
        </row>
        <row r="3094">
          <cell r="A3094" t="str">
            <v xml:space="preserve"> </v>
          </cell>
        </row>
        <row r="3095">
          <cell r="A3095" t="str">
            <v xml:space="preserve"> </v>
          </cell>
        </row>
        <row r="3096">
          <cell r="A3096" t="str">
            <v xml:space="preserve"> </v>
          </cell>
        </row>
        <row r="3097">
          <cell r="A3097" t="str">
            <v xml:space="preserve"> </v>
          </cell>
        </row>
        <row r="3098">
          <cell r="A3098" t="str">
            <v xml:space="preserve"> </v>
          </cell>
        </row>
        <row r="3099">
          <cell r="A3099" t="str">
            <v xml:space="preserve"> </v>
          </cell>
        </row>
        <row r="3100">
          <cell r="A3100" t="str">
            <v xml:space="preserve"> </v>
          </cell>
        </row>
        <row r="3101">
          <cell r="A3101" t="str">
            <v xml:space="preserve"> </v>
          </cell>
        </row>
        <row r="3102">
          <cell r="A3102" t="str">
            <v xml:space="preserve"> </v>
          </cell>
        </row>
        <row r="3103">
          <cell r="A3103" t="str">
            <v xml:space="preserve"> </v>
          </cell>
        </row>
        <row r="3104">
          <cell r="A3104" t="str">
            <v xml:space="preserve"> </v>
          </cell>
        </row>
        <row r="3105">
          <cell r="A3105" t="str">
            <v xml:space="preserve"> </v>
          </cell>
        </row>
        <row r="3106">
          <cell r="A3106" t="str">
            <v xml:space="preserve"> </v>
          </cell>
        </row>
        <row r="3107">
          <cell r="A3107" t="str">
            <v xml:space="preserve"> </v>
          </cell>
        </row>
        <row r="3108">
          <cell r="A3108" t="str">
            <v xml:space="preserve"> </v>
          </cell>
        </row>
        <row r="3109">
          <cell r="A3109" t="str">
            <v xml:space="preserve"> </v>
          </cell>
        </row>
        <row r="3110">
          <cell r="A3110" t="str">
            <v xml:space="preserve"> </v>
          </cell>
        </row>
        <row r="3111">
          <cell r="A3111" t="str">
            <v xml:space="preserve"> </v>
          </cell>
        </row>
        <row r="3112">
          <cell r="A3112" t="str">
            <v xml:space="preserve"> </v>
          </cell>
        </row>
        <row r="3113">
          <cell r="A3113" t="str">
            <v xml:space="preserve"> </v>
          </cell>
        </row>
        <row r="3114">
          <cell r="A3114" t="str">
            <v xml:space="preserve"> </v>
          </cell>
        </row>
        <row r="3115">
          <cell r="A3115" t="str">
            <v xml:space="preserve"> </v>
          </cell>
        </row>
        <row r="3116">
          <cell r="A3116" t="str">
            <v xml:space="preserve"> </v>
          </cell>
        </row>
        <row r="3117">
          <cell r="A3117" t="str">
            <v xml:space="preserve"> </v>
          </cell>
        </row>
        <row r="3118">
          <cell r="A3118" t="str">
            <v xml:space="preserve"> </v>
          </cell>
        </row>
        <row r="3119">
          <cell r="A3119" t="str">
            <v xml:space="preserve"> </v>
          </cell>
        </row>
        <row r="3120">
          <cell r="A3120" t="str">
            <v xml:space="preserve"> </v>
          </cell>
        </row>
        <row r="3121">
          <cell r="A3121" t="str">
            <v xml:space="preserve"> </v>
          </cell>
        </row>
        <row r="3122">
          <cell r="A3122" t="str">
            <v xml:space="preserve"> </v>
          </cell>
        </row>
        <row r="3123">
          <cell r="A3123" t="str">
            <v xml:space="preserve"> </v>
          </cell>
        </row>
        <row r="3124">
          <cell r="A3124" t="str">
            <v xml:space="preserve"> </v>
          </cell>
        </row>
        <row r="3125">
          <cell r="A3125" t="str">
            <v xml:space="preserve"> </v>
          </cell>
        </row>
        <row r="3126">
          <cell r="A3126" t="str">
            <v xml:space="preserve"> </v>
          </cell>
        </row>
        <row r="3127">
          <cell r="A3127" t="str">
            <v xml:space="preserve"> </v>
          </cell>
        </row>
        <row r="3128">
          <cell r="A3128" t="str">
            <v xml:space="preserve"> </v>
          </cell>
        </row>
        <row r="3129">
          <cell r="A3129" t="str">
            <v xml:space="preserve"> </v>
          </cell>
        </row>
        <row r="3130">
          <cell r="A3130" t="str">
            <v xml:space="preserve"> </v>
          </cell>
        </row>
        <row r="3131">
          <cell r="A3131" t="str">
            <v xml:space="preserve"> </v>
          </cell>
        </row>
        <row r="3132">
          <cell r="A3132" t="str">
            <v xml:space="preserve"> </v>
          </cell>
        </row>
        <row r="3133">
          <cell r="A3133" t="str">
            <v xml:space="preserve"> </v>
          </cell>
        </row>
        <row r="3134">
          <cell r="A3134" t="str">
            <v xml:space="preserve"> </v>
          </cell>
        </row>
        <row r="3135">
          <cell r="A3135" t="str">
            <v xml:space="preserve"> </v>
          </cell>
        </row>
        <row r="3136">
          <cell r="A3136" t="str">
            <v xml:space="preserve"> </v>
          </cell>
        </row>
        <row r="3137">
          <cell r="A3137" t="str">
            <v xml:space="preserve"> </v>
          </cell>
        </row>
        <row r="3138">
          <cell r="A3138" t="str">
            <v xml:space="preserve"> </v>
          </cell>
        </row>
        <row r="3139">
          <cell r="A3139" t="str">
            <v xml:space="preserve"> </v>
          </cell>
        </row>
        <row r="3140">
          <cell r="A3140" t="str">
            <v xml:space="preserve"> </v>
          </cell>
        </row>
        <row r="3141">
          <cell r="A3141" t="str">
            <v xml:space="preserve"> </v>
          </cell>
        </row>
        <row r="3142">
          <cell r="A3142" t="str">
            <v xml:space="preserve"> </v>
          </cell>
        </row>
        <row r="3143">
          <cell r="A3143" t="str">
            <v xml:space="preserve"> </v>
          </cell>
        </row>
        <row r="3144">
          <cell r="A3144" t="str">
            <v xml:space="preserve"> </v>
          </cell>
        </row>
        <row r="3145">
          <cell r="A3145" t="str">
            <v xml:space="preserve"> </v>
          </cell>
        </row>
        <row r="3146">
          <cell r="A3146" t="str">
            <v xml:space="preserve"> </v>
          </cell>
        </row>
        <row r="3147">
          <cell r="A3147" t="str">
            <v xml:space="preserve"> </v>
          </cell>
        </row>
        <row r="3148">
          <cell r="A3148" t="str">
            <v xml:space="preserve"> </v>
          </cell>
        </row>
        <row r="3149">
          <cell r="A3149" t="str">
            <v xml:space="preserve"> </v>
          </cell>
        </row>
        <row r="3150">
          <cell r="A3150" t="str">
            <v xml:space="preserve"> </v>
          </cell>
        </row>
        <row r="3151">
          <cell r="A3151" t="str">
            <v xml:space="preserve"> </v>
          </cell>
        </row>
        <row r="3152">
          <cell r="A3152" t="str">
            <v xml:space="preserve"> </v>
          </cell>
        </row>
        <row r="3153">
          <cell r="A3153" t="str">
            <v xml:space="preserve"> </v>
          </cell>
        </row>
        <row r="3154">
          <cell r="A3154" t="str">
            <v xml:space="preserve"> </v>
          </cell>
        </row>
        <row r="3155">
          <cell r="A3155" t="str">
            <v xml:space="preserve"> </v>
          </cell>
        </row>
        <row r="3156">
          <cell r="A3156" t="str">
            <v xml:space="preserve"> </v>
          </cell>
        </row>
        <row r="3157">
          <cell r="A3157" t="str">
            <v xml:space="preserve"> </v>
          </cell>
        </row>
        <row r="3158">
          <cell r="A3158" t="str">
            <v xml:space="preserve"> </v>
          </cell>
        </row>
        <row r="3159">
          <cell r="A3159" t="str">
            <v xml:space="preserve"> </v>
          </cell>
        </row>
        <row r="3160">
          <cell r="A3160" t="str">
            <v xml:space="preserve"> </v>
          </cell>
        </row>
        <row r="3161">
          <cell r="A3161" t="str">
            <v xml:space="preserve"> </v>
          </cell>
        </row>
        <row r="3162">
          <cell r="A3162" t="str">
            <v xml:space="preserve"> </v>
          </cell>
        </row>
        <row r="3163">
          <cell r="A3163" t="str">
            <v xml:space="preserve"> </v>
          </cell>
        </row>
        <row r="3164">
          <cell r="A3164" t="str">
            <v xml:space="preserve"> </v>
          </cell>
        </row>
        <row r="3165">
          <cell r="A3165" t="str">
            <v xml:space="preserve"> </v>
          </cell>
        </row>
        <row r="3166">
          <cell r="A3166" t="str">
            <v xml:space="preserve"> </v>
          </cell>
        </row>
        <row r="3167">
          <cell r="A3167" t="str">
            <v xml:space="preserve"> </v>
          </cell>
        </row>
        <row r="3168">
          <cell r="A3168" t="str">
            <v xml:space="preserve"> </v>
          </cell>
        </row>
        <row r="3169">
          <cell r="A3169" t="str">
            <v xml:space="preserve"> </v>
          </cell>
        </row>
        <row r="3170">
          <cell r="A3170" t="str">
            <v xml:space="preserve"> </v>
          </cell>
        </row>
        <row r="3171">
          <cell r="A3171" t="str">
            <v xml:space="preserve"> </v>
          </cell>
        </row>
        <row r="3172">
          <cell r="A3172" t="str">
            <v xml:space="preserve"> </v>
          </cell>
        </row>
        <row r="3173">
          <cell r="A3173" t="str">
            <v xml:space="preserve"> </v>
          </cell>
        </row>
        <row r="3174">
          <cell r="A3174" t="str">
            <v xml:space="preserve"> </v>
          </cell>
        </row>
        <row r="3175">
          <cell r="A3175" t="str">
            <v xml:space="preserve"> </v>
          </cell>
        </row>
        <row r="3176">
          <cell r="A3176" t="str">
            <v xml:space="preserve"> </v>
          </cell>
        </row>
        <row r="3177">
          <cell r="A3177" t="str">
            <v xml:space="preserve"> </v>
          </cell>
        </row>
        <row r="3178">
          <cell r="A3178" t="str">
            <v xml:space="preserve"> </v>
          </cell>
        </row>
        <row r="3179">
          <cell r="A3179" t="str">
            <v xml:space="preserve"> </v>
          </cell>
        </row>
        <row r="3180">
          <cell r="A3180" t="str">
            <v xml:space="preserve"> </v>
          </cell>
        </row>
        <row r="3181">
          <cell r="A3181" t="str">
            <v xml:space="preserve"> </v>
          </cell>
        </row>
        <row r="3182">
          <cell r="A3182" t="str">
            <v xml:space="preserve"> </v>
          </cell>
        </row>
        <row r="3183">
          <cell r="A3183" t="str">
            <v xml:space="preserve"> </v>
          </cell>
        </row>
        <row r="3184">
          <cell r="A3184" t="str">
            <v xml:space="preserve"> </v>
          </cell>
        </row>
        <row r="3185">
          <cell r="A3185" t="str">
            <v xml:space="preserve"> </v>
          </cell>
        </row>
        <row r="3186">
          <cell r="A3186" t="str">
            <v xml:space="preserve"> </v>
          </cell>
        </row>
        <row r="3187">
          <cell r="A3187" t="str">
            <v xml:space="preserve"> </v>
          </cell>
        </row>
        <row r="3188">
          <cell r="A3188" t="str">
            <v xml:space="preserve"> </v>
          </cell>
        </row>
        <row r="3189">
          <cell r="A3189" t="str">
            <v xml:space="preserve"> </v>
          </cell>
        </row>
        <row r="3190">
          <cell r="A3190" t="str">
            <v xml:space="preserve"> </v>
          </cell>
        </row>
        <row r="3191">
          <cell r="A3191" t="str">
            <v xml:space="preserve"> </v>
          </cell>
        </row>
        <row r="3192">
          <cell r="A3192" t="str">
            <v xml:space="preserve"> </v>
          </cell>
        </row>
        <row r="3193">
          <cell r="A3193" t="str">
            <v xml:space="preserve"> </v>
          </cell>
        </row>
        <row r="3194">
          <cell r="A3194" t="str">
            <v xml:space="preserve"> </v>
          </cell>
        </row>
        <row r="3195">
          <cell r="A3195" t="str">
            <v xml:space="preserve"> </v>
          </cell>
        </row>
        <row r="3196">
          <cell r="A3196" t="str">
            <v xml:space="preserve"> </v>
          </cell>
        </row>
        <row r="3197">
          <cell r="A3197" t="str">
            <v xml:space="preserve"> </v>
          </cell>
        </row>
        <row r="3198">
          <cell r="A3198" t="str">
            <v xml:space="preserve"> </v>
          </cell>
        </row>
        <row r="3199">
          <cell r="A3199" t="str">
            <v xml:space="preserve"> </v>
          </cell>
        </row>
        <row r="3200">
          <cell r="A3200" t="str">
            <v xml:space="preserve"> </v>
          </cell>
        </row>
        <row r="3201">
          <cell r="A3201" t="str">
            <v xml:space="preserve"> </v>
          </cell>
        </row>
        <row r="3202">
          <cell r="A3202" t="str">
            <v xml:space="preserve"> </v>
          </cell>
        </row>
        <row r="3203">
          <cell r="A3203" t="str">
            <v xml:space="preserve"> </v>
          </cell>
        </row>
        <row r="3204">
          <cell r="A3204" t="str">
            <v xml:space="preserve"> </v>
          </cell>
        </row>
        <row r="3205">
          <cell r="A3205" t="str">
            <v xml:space="preserve"> </v>
          </cell>
        </row>
        <row r="3206">
          <cell r="A3206" t="str">
            <v xml:space="preserve"> </v>
          </cell>
        </row>
        <row r="3207">
          <cell r="A3207" t="str">
            <v xml:space="preserve"> </v>
          </cell>
        </row>
        <row r="3208">
          <cell r="A3208" t="str">
            <v xml:space="preserve"> </v>
          </cell>
        </row>
        <row r="3209">
          <cell r="A3209" t="str">
            <v xml:space="preserve"> </v>
          </cell>
        </row>
        <row r="3210">
          <cell r="A3210" t="str">
            <v xml:space="preserve"> </v>
          </cell>
        </row>
        <row r="3211">
          <cell r="A3211" t="str">
            <v xml:space="preserve"> </v>
          </cell>
        </row>
        <row r="3212">
          <cell r="A3212" t="str">
            <v xml:space="preserve"> </v>
          </cell>
        </row>
        <row r="3213">
          <cell r="A3213" t="str">
            <v xml:space="preserve"> </v>
          </cell>
        </row>
        <row r="3214">
          <cell r="A3214" t="str">
            <v xml:space="preserve"> </v>
          </cell>
        </row>
        <row r="3215">
          <cell r="A3215" t="str">
            <v xml:space="preserve"> </v>
          </cell>
        </row>
        <row r="3216">
          <cell r="A3216" t="str">
            <v xml:space="preserve"> </v>
          </cell>
        </row>
        <row r="3217">
          <cell r="A3217" t="str">
            <v xml:space="preserve"> </v>
          </cell>
        </row>
        <row r="3218">
          <cell r="A3218" t="str">
            <v xml:space="preserve"> </v>
          </cell>
        </row>
        <row r="3219">
          <cell r="A3219" t="str">
            <v xml:space="preserve"> </v>
          </cell>
        </row>
        <row r="3220">
          <cell r="A3220" t="str">
            <v xml:space="preserve"> </v>
          </cell>
        </row>
        <row r="3221">
          <cell r="A3221" t="str">
            <v xml:space="preserve"> </v>
          </cell>
        </row>
        <row r="3222">
          <cell r="A3222" t="str">
            <v xml:space="preserve"> </v>
          </cell>
        </row>
        <row r="3223">
          <cell r="A3223" t="str">
            <v xml:space="preserve"> </v>
          </cell>
        </row>
        <row r="3224">
          <cell r="A3224" t="str">
            <v xml:space="preserve"> </v>
          </cell>
        </row>
        <row r="3225">
          <cell r="A3225" t="str">
            <v xml:space="preserve"> </v>
          </cell>
        </row>
        <row r="3226">
          <cell r="A3226" t="str">
            <v xml:space="preserve"> </v>
          </cell>
        </row>
        <row r="3227">
          <cell r="A3227" t="str">
            <v xml:space="preserve"> </v>
          </cell>
        </row>
        <row r="3228">
          <cell r="A3228" t="str">
            <v xml:space="preserve"> </v>
          </cell>
        </row>
        <row r="3229">
          <cell r="A3229" t="str">
            <v xml:space="preserve"> </v>
          </cell>
        </row>
        <row r="3230">
          <cell r="A3230" t="str">
            <v xml:space="preserve"> </v>
          </cell>
        </row>
        <row r="3231">
          <cell r="A3231" t="str">
            <v xml:space="preserve"> </v>
          </cell>
        </row>
        <row r="3232">
          <cell r="A3232" t="str">
            <v xml:space="preserve"> </v>
          </cell>
        </row>
        <row r="3233">
          <cell r="A3233" t="str">
            <v xml:space="preserve"> </v>
          </cell>
        </row>
        <row r="3234">
          <cell r="A3234" t="str">
            <v xml:space="preserve"> </v>
          </cell>
        </row>
        <row r="3235">
          <cell r="A3235" t="str">
            <v xml:space="preserve"> </v>
          </cell>
        </row>
        <row r="3236">
          <cell r="A3236" t="str">
            <v xml:space="preserve"> </v>
          </cell>
        </row>
        <row r="3237">
          <cell r="A3237" t="str">
            <v xml:space="preserve"> </v>
          </cell>
        </row>
        <row r="3238">
          <cell r="A3238" t="str">
            <v xml:space="preserve"> </v>
          </cell>
        </row>
        <row r="3239">
          <cell r="A3239" t="str">
            <v xml:space="preserve"> </v>
          </cell>
        </row>
        <row r="3240">
          <cell r="A3240" t="str">
            <v xml:space="preserve"> </v>
          </cell>
        </row>
        <row r="3241">
          <cell r="A3241" t="str">
            <v xml:space="preserve"> </v>
          </cell>
        </row>
        <row r="3242">
          <cell r="A3242" t="str">
            <v xml:space="preserve"> </v>
          </cell>
        </row>
        <row r="3243">
          <cell r="A3243" t="str">
            <v xml:space="preserve"> </v>
          </cell>
        </row>
        <row r="3244">
          <cell r="A3244" t="str">
            <v xml:space="preserve"> </v>
          </cell>
        </row>
        <row r="3245">
          <cell r="A3245" t="str">
            <v xml:space="preserve"> </v>
          </cell>
        </row>
        <row r="3246">
          <cell r="A3246" t="str">
            <v xml:space="preserve"> </v>
          </cell>
        </row>
        <row r="3247">
          <cell r="A3247" t="str">
            <v xml:space="preserve"> </v>
          </cell>
        </row>
        <row r="3248">
          <cell r="A3248" t="str">
            <v xml:space="preserve"> </v>
          </cell>
        </row>
        <row r="3249">
          <cell r="A3249" t="str">
            <v xml:space="preserve"> </v>
          </cell>
        </row>
        <row r="3250">
          <cell r="A3250" t="str">
            <v xml:space="preserve"> </v>
          </cell>
        </row>
        <row r="3251">
          <cell r="A3251" t="str">
            <v xml:space="preserve"> </v>
          </cell>
        </row>
        <row r="3252">
          <cell r="A3252" t="str">
            <v xml:space="preserve"> </v>
          </cell>
        </row>
        <row r="3253">
          <cell r="A3253" t="str">
            <v xml:space="preserve"> </v>
          </cell>
        </row>
        <row r="3254">
          <cell r="A3254" t="str">
            <v xml:space="preserve"> </v>
          </cell>
        </row>
        <row r="3255">
          <cell r="A3255" t="str">
            <v xml:space="preserve"> </v>
          </cell>
        </row>
        <row r="3256">
          <cell r="A3256" t="str">
            <v xml:space="preserve"> </v>
          </cell>
        </row>
        <row r="3257">
          <cell r="A3257" t="str">
            <v xml:space="preserve"> </v>
          </cell>
        </row>
        <row r="3258">
          <cell r="A3258" t="str">
            <v xml:space="preserve"> </v>
          </cell>
        </row>
        <row r="3259">
          <cell r="A3259" t="str">
            <v xml:space="preserve"> </v>
          </cell>
        </row>
        <row r="3260">
          <cell r="A3260" t="str">
            <v xml:space="preserve"> </v>
          </cell>
        </row>
        <row r="3261">
          <cell r="A3261" t="str">
            <v xml:space="preserve"> </v>
          </cell>
        </row>
        <row r="3262">
          <cell r="A3262" t="str">
            <v xml:space="preserve"> </v>
          </cell>
        </row>
        <row r="3263">
          <cell r="A3263" t="str">
            <v xml:space="preserve"> </v>
          </cell>
        </row>
        <row r="3264">
          <cell r="A3264" t="str">
            <v xml:space="preserve"> </v>
          </cell>
        </row>
        <row r="3265">
          <cell r="A3265" t="str">
            <v xml:space="preserve"> </v>
          </cell>
        </row>
        <row r="3266">
          <cell r="A3266" t="str">
            <v xml:space="preserve"> </v>
          </cell>
        </row>
        <row r="3267">
          <cell r="A3267" t="str">
            <v xml:space="preserve"> </v>
          </cell>
        </row>
        <row r="3268">
          <cell r="A3268" t="str">
            <v xml:space="preserve"> </v>
          </cell>
        </row>
        <row r="3269">
          <cell r="A3269" t="str">
            <v xml:space="preserve"> </v>
          </cell>
        </row>
        <row r="3270">
          <cell r="A3270" t="str">
            <v xml:space="preserve"> </v>
          </cell>
        </row>
        <row r="3271">
          <cell r="A3271" t="str">
            <v xml:space="preserve"> </v>
          </cell>
        </row>
        <row r="3272">
          <cell r="A3272" t="str">
            <v xml:space="preserve"> </v>
          </cell>
        </row>
        <row r="3273">
          <cell r="A3273" t="str">
            <v xml:space="preserve"> </v>
          </cell>
        </row>
        <row r="3274">
          <cell r="A3274" t="str">
            <v xml:space="preserve"> </v>
          </cell>
        </row>
        <row r="3275">
          <cell r="A3275" t="str">
            <v xml:space="preserve"> </v>
          </cell>
        </row>
        <row r="3276">
          <cell r="A3276" t="str">
            <v xml:space="preserve"> </v>
          </cell>
        </row>
        <row r="3277">
          <cell r="A3277" t="str">
            <v xml:space="preserve"> </v>
          </cell>
        </row>
        <row r="3278">
          <cell r="A3278" t="str">
            <v xml:space="preserve"> </v>
          </cell>
        </row>
        <row r="3279">
          <cell r="A3279" t="str">
            <v xml:space="preserve"> </v>
          </cell>
        </row>
        <row r="3280">
          <cell r="A3280" t="str">
            <v xml:space="preserve"> </v>
          </cell>
        </row>
        <row r="3281">
          <cell r="A3281" t="str">
            <v xml:space="preserve"> </v>
          </cell>
        </row>
        <row r="3282">
          <cell r="A3282" t="str">
            <v xml:space="preserve"> </v>
          </cell>
        </row>
        <row r="3283">
          <cell r="A3283" t="str">
            <v xml:space="preserve"> </v>
          </cell>
        </row>
        <row r="3284">
          <cell r="A3284" t="str">
            <v xml:space="preserve"> </v>
          </cell>
        </row>
        <row r="3285">
          <cell r="A3285" t="str">
            <v xml:space="preserve"> </v>
          </cell>
        </row>
        <row r="3286">
          <cell r="A3286" t="str">
            <v xml:space="preserve"> </v>
          </cell>
        </row>
        <row r="3287">
          <cell r="A3287" t="str">
            <v xml:space="preserve"> </v>
          </cell>
        </row>
        <row r="3288">
          <cell r="A3288" t="str">
            <v xml:space="preserve"> </v>
          </cell>
        </row>
        <row r="3289">
          <cell r="A3289" t="str">
            <v xml:space="preserve"> </v>
          </cell>
        </row>
        <row r="3290">
          <cell r="A3290" t="str">
            <v xml:space="preserve"> </v>
          </cell>
        </row>
        <row r="3291">
          <cell r="A3291" t="str">
            <v xml:space="preserve"> </v>
          </cell>
        </row>
        <row r="3292">
          <cell r="A3292" t="str">
            <v xml:space="preserve"> </v>
          </cell>
        </row>
        <row r="3293">
          <cell r="A3293" t="str">
            <v xml:space="preserve"> </v>
          </cell>
        </row>
        <row r="3294">
          <cell r="A3294" t="str">
            <v xml:space="preserve"> </v>
          </cell>
        </row>
        <row r="3295">
          <cell r="A3295" t="str">
            <v xml:space="preserve"> </v>
          </cell>
        </row>
        <row r="3296">
          <cell r="A3296" t="str">
            <v xml:space="preserve"> </v>
          </cell>
        </row>
        <row r="3297">
          <cell r="A3297" t="str">
            <v xml:space="preserve"> </v>
          </cell>
        </row>
        <row r="3298">
          <cell r="A3298" t="str">
            <v xml:space="preserve"> </v>
          </cell>
        </row>
        <row r="3299">
          <cell r="A3299" t="str">
            <v xml:space="preserve"> </v>
          </cell>
        </row>
        <row r="3300">
          <cell r="A3300" t="str">
            <v xml:space="preserve"> </v>
          </cell>
        </row>
        <row r="3301">
          <cell r="A3301" t="str">
            <v xml:space="preserve"> </v>
          </cell>
        </row>
        <row r="3302">
          <cell r="A3302" t="str">
            <v xml:space="preserve"> </v>
          </cell>
        </row>
        <row r="3303">
          <cell r="A3303" t="str">
            <v xml:space="preserve"> </v>
          </cell>
        </row>
        <row r="3304">
          <cell r="A3304" t="str">
            <v xml:space="preserve"> </v>
          </cell>
        </row>
        <row r="3305">
          <cell r="A3305" t="str">
            <v xml:space="preserve"> </v>
          </cell>
        </row>
        <row r="3306">
          <cell r="A3306" t="str">
            <v xml:space="preserve"> </v>
          </cell>
        </row>
        <row r="3307">
          <cell r="A3307" t="str">
            <v xml:space="preserve"> </v>
          </cell>
        </row>
        <row r="3308">
          <cell r="A3308" t="str">
            <v xml:space="preserve"> </v>
          </cell>
        </row>
        <row r="3309">
          <cell r="A3309" t="str">
            <v xml:space="preserve"> </v>
          </cell>
        </row>
        <row r="3310">
          <cell r="A3310" t="str">
            <v xml:space="preserve"> </v>
          </cell>
        </row>
        <row r="3311">
          <cell r="A3311" t="str">
            <v xml:space="preserve"> </v>
          </cell>
        </row>
        <row r="3312">
          <cell r="A3312" t="str">
            <v xml:space="preserve"> </v>
          </cell>
        </row>
        <row r="3313">
          <cell r="A3313" t="str">
            <v xml:space="preserve"> </v>
          </cell>
        </row>
        <row r="3314">
          <cell r="A3314" t="str">
            <v xml:space="preserve"> </v>
          </cell>
        </row>
        <row r="3315">
          <cell r="A3315" t="str">
            <v xml:space="preserve"> </v>
          </cell>
        </row>
        <row r="3316">
          <cell r="A3316" t="str">
            <v xml:space="preserve"> </v>
          </cell>
        </row>
        <row r="3317">
          <cell r="A3317" t="str">
            <v xml:space="preserve"> </v>
          </cell>
        </row>
        <row r="3318">
          <cell r="A3318" t="str">
            <v xml:space="preserve"> </v>
          </cell>
        </row>
        <row r="3319">
          <cell r="A3319" t="str">
            <v xml:space="preserve"> </v>
          </cell>
        </row>
        <row r="3320">
          <cell r="A3320" t="str">
            <v xml:space="preserve"> </v>
          </cell>
        </row>
        <row r="3321">
          <cell r="A3321" t="str">
            <v xml:space="preserve"> </v>
          </cell>
        </row>
        <row r="3322">
          <cell r="A3322" t="str">
            <v xml:space="preserve"> </v>
          </cell>
        </row>
        <row r="3323">
          <cell r="A3323" t="str">
            <v xml:space="preserve"> </v>
          </cell>
        </row>
        <row r="3324">
          <cell r="A3324" t="str">
            <v xml:space="preserve"> </v>
          </cell>
        </row>
        <row r="3325">
          <cell r="A3325" t="str">
            <v xml:space="preserve"> </v>
          </cell>
        </row>
        <row r="3326">
          <cell r="A3326" t="str">
            <v xml:space="preserve"> </v>
          </cell>
        </row>
        <row r="3327">
          <cell r="A3327" t="str">
            <v xml:space="preserve"> </v>
          </cell>
        </row>
        <row r="3328">
          <cell r="A3328" t="str">
            <v xml:space="preserve"> </v>
          </cell>
        </row>
        <row r="3329">
          <cell r="A3329" t="str">
            <v xml:space="preserve"> </v>
          </cell>
        </row>
        <row r="3330">
          <cell r="A3330" t="str">
            <v xml:space="preserve"> </v>
          </cell>
        </row>
        <row r="3331">
          <cell r="A3331" t="str">
            <v xml:space="preserve"> </v>
          </cell>
        </row>
        <row r="3332">
          <cell r="A3332" t="str">
            <v xml:space="preserve"> </v>
          </cell>
        </row>
        <row r="3333">
          <cell r="A3333" t="str">
            <v xml:space="preserve"> </v>
          </cell>
        </row>
        <row r="3334">
          <cell r="A3334" t="str">
            <v xml:space="preserve"> </v>
          </cell>
        </row>
        <row r="3335">
          <cell r="A3335" t="str">
            <v xml:space="preserve"> </v>
          </cell>
        </row>
        <row r="3336">
          <cell r="A3336" t="str">
            <v xml:space="preserve"> </v>
          </cell>
        </row>
        <row r="3337">
          <cell r="A3337" t="str">
            <v xml:space="preserve"> </v>
          </cell>
        </row>
        <row r="3338">
          <cell r="A3338" t="str">
            <v xml:space="preserve"> </v>
          </cell>
        </row>
        <row r="3339">
          <cell r="A3339" t="str">
            <v xml:space="preserve"> </v>
          </cell>
        </row>
        <row r="3340">
          <cell r="A3340" t="str">
            <v xml:space="preserve"> </v>
          </cell>
        </row>
        <row r="3341">
          <cell r="A3341" t="str">
            <v xml:space="preserve"> </v>
          </cell>
        </row>
        <row r="3342">
          <cell r="A3342" t="str">
            <v xml:space="preserve"> </v>
          </cell>
        </row>
        <row r="3343">
          <cell r="A3343" t="str">
            <v xml:space="preserve"> </v>
          </cell>
        </row>
        <row r="3344">
          <cell r="A3344" t="str">
            <v xml:space="preserve"> </v>
          </cell>
        </row>
        <row r="3345">
          <cell r="A3345" t="str">
            <v xml:space="preserve"> </v>
          </cell>
        </row>
        <row r="3346">
          <cell r="A3346" t="str">
            <v xml:space="preserve"> </v>
          </cell>
        </row>
        <row r="3347">
          <cell r="A3347" t="str">
            <v xml:space="preserve"> </v>
          </cell>
        </row>
        <row r="3348">
          <cell r="A3348" t="str">
            <v xml:space="preserve"> </v>
          </cell>
        </row>
        <row r="3349">
          <cell r="A3349" t="str">
            <v xml:space="preserve"> </v>
          </cell>
        </row>
        <row r="3350">
          <cell r="A3350" t="str">
            <v xml:space="preserve"> </v>
          </cell>
        </row>
        <row r="3351">
          <cell r="A3351" t="str">
            <v xml:space="preserve"> </v>
          </cell>
        </row>
        <row r="3352">
          <cell r="A3352" t="str">
            <v xml:space="preserve"> </v>
          </cell>
        </row>
        <row r="3353">
          <cell r="A3353" t="str">
            <v xml:space="preserve"> </v>
          </cell>
        </row>
        <row r="3354">
          <cell r="A3354" t="str">
            <v xml:space="preserve"> </v>
          </cell>
        </row>
        <row r="3355">
          <cell r="A3355" t="str">
            <v xml:space="preserve"> </v>
          </cell>
        </row>
        <row r="3356">
          <cell r="A3356" t="str">
            <v xml:space="preserve"> </v>
          </cell>
        </row>
        <row r="3357">
          <cell r="A3357" t="str">
            <v xml:space="preserve"> </v>
          </cell>
        </row>
        <row r="3358">
          <cell r="A3358" t="str">
            <v xml:space="preserve"> </v>
          </cell>
        </row>
        <row r="3359">
          <cell r="A3359" t="str">
            <v xml:space="preserve"> </v>
          </cell>
        </row>
        <row r="3360">
          <cell r="A3360" t="str">
            <v xml:space="preserve"> </v>
          </cell>
        </row>
        <row r="3361">
          <cell r="A3361" t="str">
            <v xml:space="preserve"> </v>
          </cell>
        </row>
        <row r="3362">
          <cell r="A3362" t="str">
            <v xml:space="preserve"> </v>
          </cell>
        </row>
        <row r="3363">
          <cell r="A3363" t="str">
            <v xml:space="preserve"> </v>
          </cell>
        </row>
        <row r="3364">
          <cell r="A3364" t="str">
            <v xml:space="preserve"> </v>
          </cell>
        </row>
        <row r="3365">
          <cell r="A3365" t="str">
            <v xml:space="preserve"> </v>
          </cell>
        </row>
        <row r="3366">
          <cell r="A3366" t="str">
            <v xml:space="preserve"> </v>
          </cell>
        </row>
        <row r="3367">
          <cell r="A3367" t="str">
            <v xml:space="preserve"> </v>
          </cell>
        </row>
        <row r="3368">
          <cell r="A3368" t="str">
            <v xml:space="preserve"> </v>
          </cell>
        </row>
        <row r="3369">
          <cell r="A3369" t="str">
            <v xml:space="preserve"> </v>
          </cell>
        </row>
        <row r="3370">
          <cell r="A3370" t="str">
            <v xml:space="preserve"> </v>
          </cell>
        </row>
        <row r="3371">
          <cell r="A3371" t="str">
            <v xml:space="preserve"> </v>
          </cell>
        </row>
        <row r="3372">
          <cell r="A3372" t="str">
            <v xml:space="preserve"> </v>
          </cell>
        </row>
        <row r="3373">
          <cell r="A3373" t="str">
            <v xml:space="preserve"> </v>
          </cell>
        </row>
        <row r="3374">
          <cell r="A3374" t="str">
            <v xml:space="preserve"> </v>
          </cell>
        </row>
        <row r="3375">
          <cell r="A3375" t="str">
            <v xml:space="preserve"> </v>
          </cell>
        </row>
        <row r="3376">
          <cell r="A3376" t="str">
            <v xml:space="preserve"> </v>
          </cell>
        </row>
        <row r="3377">
          <cell r="A3377" t="str">
            <v xml:space="preserve"> </v>
          </cell>
        </row>
        <row r="3378">
          <cell r="A3378" t="str">
            <v xml:space="preserve"> </v>
          </cell>
        </row>
        <row r="3379">
          <cell r="A3379" t="str">
            <v xml:space="preserve"> </v>
          </cell>
        </row>
        <row r="3380">
          <cell r="A3380" t="str">
            <v xml:space="preserve"> </v>
          </cell>
        </row>
        <row r="3381">
          <cell r="A3381" t="str">
            <v xml:space="preserve"> </v>
          </cell>
        </row>
        <row r="3382">
          <cell r="A3382" t="str">
            <v xml:space="preserve"> </v>
          </cell>
        </row>
        <row r="3383">
          <cell r="A3383" t="str">
            <v xml:space="preserve"> </v>
          </cell>
        </row>
        <row r="3384">
          <cell r="A3384" t="str">
            <v xml:space="preserve"> </v>
          </cell>
        </row>
        <row r="3385">
          <cell r="A3385" t="str">
            <v xml:space="preserve"> </v>
          </cell>
        </row>
        <row r="3386">
          <cell r="A3386" t="str">
            <v xml:space="preserve"> </v>
          </cell>
        </row>
        <row r="3387">
          <cell r="A3387" t="str">
            <v xml:space="preserve"> </v>
          </cell>
        </row>
        <row r="3388">
          <cell r="A3388" t="str">
            <v xml:space="preserve"> </v>
          </cell>
        </row>
        <row r="3389">
          <cell r="A3389" t="str">
            <v xml:space="preserve"> </v>
          </cell>
        </row>
        <row r="3390">
          <cell r="A3390" t="str">
            <v xml:space="preserve"> </v>
          </cell>
        </row>
        <row r="3391">
          <cell r="A3391" t="str">
            <v xml:space="preserve"> </v>
          </cell>
        </row>
        <row r="3392">
          <cell r="A3392" t="str">
            <v xml:space="preserve"> </v>
          </cell>
        </row>
        <row r="3393">
          <cell r="A3393" t="str">
            <v xml:space="preserve"> </v>
          </cell>
        </row>
        <row r="3394">
          <cell r="A3394" t="str">
            <v xml:space="preserve"> </v>
          </cell>
        </row>
        <row r="3395">
          <cell r="A3395" t="str">
            <v xml:space="preserve"> </v>
          </cell>
        </row>
        <row r="3396">
          <cell r="A3396" t="str">
            <v xml:space="preserve"> </v>
          </cell>
        </row>
        <row r="3397">
          <cell r="A3397" t="str">
            <v xml:space="preserve"> </v>
          </cell>
        </row>
        <row r="3398">
          <cell r="A3398" t="str">
            <v xml:space="preserve"> </v>
          </cell>
        </row>
        <row r="3399">
          <cell r="A3399" t="str">
            <v xml:space="preserve"> </v>
          </cell>
        </row>
        <row r="3400">
          <cell r="A3400" t="str">
            <v xml:space="preserve"> </v>
          </cell>
        </row>
        <row r="3401">
          <cell r="A3401" t="str">
            <v xml:space="preserve"> </v>
          </cell>
        </row>
        <row r="3402">
          <cell r="A3402" t="str">
            <v xml:space="preserve"> </v>
          </cell>
        </row>
        <row r="3403">
          <cell r="A3403" t="str">
            <v xml:space="preserve"> </v>
          </cell>
        </row>
        <row r="3404">
          <cell r="A3404" t="str">
            <v xml:space="preserve"> </v>
          </cell>
        </row>
        <row r="3405">
          <cell r="A3405" t="str">
            <v xml:space="preserve"> </v>
          </cell>
        </row>
        <row r="3406">
          <cell r="A3406" t="str">
            <v xml:space="preserve"> </v>
          </cell>
        </row>
        <row r="3407">
          <cell r="A3407" t="str">
            <v xml:space="preserve"> </v>
          </cell>
        </row>
        <row r="3408">
          <cell r="A3408" t="str">
            <v xml:space="preserve"> </v>
          </cell>
        </row>
        <row r="3409">
          <cell r="A3409" t="str">
            <v xml:space="preserve"> </v>
          </cell>
        </row>
        <row r="3410">
          <cell r="A3410" t="str">
            <v xml:space="preserve"> </v>
          </cell>
        </row>
        <row r="3411">
          <cell r="A3411" t="str">
            <v xml:space="preserve"> </v>
          </cell>
        </row>
        <row r="3412">
          <cell r="A3412" t="str">
            <v xml:space="preserve"> </v>
          </cell>
        </row>
        <row r="3413">
          <cell r="A3413" t="str">
            <v xml:space="preserve"> </v>
          </cell>
        </row>
        <row r="3414">
          <cell r="A3414" t="str">
            <v xml:space="preserve"> </v>
          </cell>
        </row>
        <row r="3415">
          <cell r="A3415" t="str">
            <v xml:space="preserve"> </v>
          </cell>
        </row>
        <row r="3416">
          <cell r="A3416" t="str">
            <v xml:space="preserve"> </v>
          </cell>
        </row>
        <row r="3417">
          <cell r="A3417" t="str">
            <v xml:space="preserve"> </v>
          </cell>
        </row>
        <row r="3418">
          <cell r="A3418" t="str">
            <v xml:space="preserve"> </v>
          </cell>
        </row>
        <row r="3419">
          <cell r="A3419" t="str">
            <v xml:space="preserve"> </v>
          </cell>
        </row>
        <row r="3420">
          <cell r="A3420" t="str">
            <v xml:space="preserve"> </v>
          </cell>
        </row>
        <row r="3421">
          <cell r="A3421" t="str">
            <v xml:space="preserve"> </v>
          </cell>
        </row>
        <row r="3422">
          <cell r="A3422" t="str">
            <v xml:space="preserve"> </v>
          </cell>
        </row>
        <row r="3423">
          <cell r="A3423" t="str">
            <v xml:space="preserve"> </v>
          </cell>
        </row>
        <row r="3424">
          <cell r="A3424" t="str">
            <v xml:space="preserve"> </v>
          </cell>
        </row>
        <row r="3425">
          <cell r="A3425" t="str">
            <v xml:space="preserve"> </v>
          </cell>
        </row>
        <row r="3426">
          <cell r="A3426" t="str">
            <v xml:space="preserve"> </v>
          </cell>
        </row>
        <row r="3427">
          <cell r="A3427" t="str">
            <v xml:space="preserve"> </v>
          </cell>
        </row>
        <row r="3428">
          <cell r="A3428" t="str">
            <v xml:space="preserve"> </v>
          </cell>
        </row>
        <row r="3429">
          <cell r="A3429" t="str">
            <v xml:space="preserve"> </v>
          </cell>
        </row>
        <row r="3430">
          <cell r="A3430" t="str">
            <v xml:space="preserve"> </v>
          </cell>
        </row>
        <row r="3431">
          <cell r="A3431" t="str">
            <v xml:space="preserve"> </v>
          </cell>
        </row>
        <row r="3432">
          <cell r="A3432" t="str">
            <v xml:space="preserve"> </v>
          </cell>
        </row>
        <row r="3433">
          <cell r="A3433" t="str">
            <v xml:space="preserve"> </v>
          </cell>
        </row>
        <row r="3434">
          <cell r="A3434" t="str">
            <v xml:space="preserve"> </v>
          </cell>
        </row>
        <row r="3435">
          <cell r="A3435" t="str">
            <v xml:space="preserve"> </v>
          </cell>
        </row>
        <row r="3436">
          <cell r="A3436" t="str">
            <v xml:space="preserve"> </v>
          </cell>
        </row>
        <row r="3437">
          <cell r="A3437" t="str">
            <v xml:space="preserve"> </v>
          </cell>
        </row>
        <row r="3438">
          <cell r="A3438" t="str">
            <v xml:space="preserve"> </v>
          </cell>
        </row>
        <row r="3439">
          <cell r="A3439" t="str">
            <v xml:space="preserve"> </v>
          </cell>
        </row>
        <row r="3440">
          <cell r="A3440" t="str">
            <v xml:space="preserve"> </v>
          </cell>
        </row>
        <row r="3441">
          <cell r="A3441" t="str">
            <v xml:space="preserve"> </v>
          </cell>
        </row>
        <row r="3442">
          <cell r="A3442" t="str">
            <v xml:space="preserve"> </v>
          </cell>
        </row>
        <row r="3443">
          <cell r="A3443" t="str">
            <v xml:space="preserve"> </v>
          </cell>
        </row>
        <row r="3444">
          <cell r="A3444" t="str">
            <v xml:space="preserve"> </v>
          </cell>
        </row>
        <row r="3445">
          <cell r="A3445" t="str">
            <v xml:space="preserve"> </v>
          </cell>
        </row>
        <row r="3446">
          <cell r="A3446" t="str">
            <v xml:space="preserve"> </v>
          </cell>
        </row>
        <row r="3447">
          <cell r="A3447" t="str">
            <v xml:space="preserve"> </v>
          </cell>
        </row>
        <row r="3448">
          <cell r="A3448" t="str">
            <v xml:space="preserve"> </v>
          </cell>
        </row>
        <row r="3449">
          <cell r="A3449" t="str">
            <v xml:space="preserve"> </v>
          </cell>
        </row>
        <row r="3450">
          <cell r="A3450" t="str">
            <v xml:space="preserve"> </v>
          </cell>
        </row>
        <row r="3451">
          <cell r="A3451" t="str">
            <v xml:space="preserve"> </v>
          </cell>
        </row>
        <row r="3452">
          <cell r="A3452" t="str">
            <v xml:space="preserve"> </v>
          </cell>
        </row>
        <row r="3453">
          <cell r="A3453" t="str">
            <v xml:space="preserve"> </v>
          </cell>
        </row>
        <row r="3454">
          <cell r="A3454" t="str">
            <v xml:space="preserve"> </v>
          </cell>
        </row>
        <row r="3455">
          <cell r="A3455" t="str">
            <v xml:space="preserve"> </v>
          </cell>
        </row>
        <row r="3456">
          <cell r="A3456" t="str">
            <v xml:space="preserve"> </v>
          </cell>
        </row>
        <row r="3457">
          <cell r="A3457" t="str">
            <v xml:space="preserve"> </v>
          </cell>
        </row>
        <row r="3458">
          <cell r="A3458" t="str">
            <v xml:space="preserve"> </v>
          </cell>
        </row>
        <row r="3459">
          <cell r="A3459" t="str">
            <v xml:space="preserve"> </v>
          </cell>
        </row>
        <row r="3460">
          <cell r="A3460" t="str">
            <v xml:space="preserve"> </v>
          </cell>
        </row>
        <row r="3461">
          <cell r="A3461" t="str">
            <v xml:space="preserve"> </v>
          </cell>
        </row>
        <row r="3462">
          <cell r="A3462" t="str">
            <v xml:space="preserve"> </v>
          </cell>
        </row>
        <row r="3463">
          <cell r="A3463" t="str">
            <v xml:space="preserve"> </v>
          </cell>
        </row>
        <row r="3464">
          <cell r="A3464" t="str">
            <v xml:space="preserve"> </v>
          </cell>
        </row>
        <row r="3465">
          <cell r="A3465" t="str">
            <v xml:space="preserve"> </v>
          </cell>
        </row>
        <row r="3466">
          <cell r="A3466" t="str">
            <v xml:space="preserve"> </v>
          </cell>
        </row>
        <row r="3467">
          <cell r="A3467" t="str">
            <v xml:space="preserve"> </v>
          </cell>
        </row>
        <row r="3468">
          <cell r="A3468" t="str">
            <v xml:space="preserve"> </v>
          </cell>
        </row>
        <row r="3469">
          <cell r="A3469" t="str">
            <v xml:space="preserve"> </v>
          </cell>
        </row>
        <row r="3470">
          <cell r="A3470" t="str">
            <v xml:space="preserve"> </v>
          </cell>
        </row>
        <row r="3471">
          <cell r="A3471" t="str">
            <v xml:space="preserve"> </v>
          </cell>
        </row>
        <row r="3472">
          <cell r="A3472" t="str">
            <v xml:space="preserve"> </v>
          </cell>
        </row>
        <row r="3473">
          <cell r="A3473" t="str">
            <v xml:space="preserve"> </v>
          </cell>
        </row>
        <row r="3474">
          <cell r="A3474" t="str">
            <v xml:space="preserve"> </v>
          </cell>
        </row>
        <row r="3475">
          <cell r="A3475" t="str">
            <v xml:space="preserve"> </v>
          </cell>
        </row>
        <row r="3476">
          <cell r="A3476" t="str">
            <v xml:space="preserve"> </v>
          </cell>
        </row>
        <row r="3477">
          <cell r="A3477" t="str">
            <v xml:space="preserve"> </v>
          </cell>
        </row>
        <row r="3478">
          <cell r="A3478" t="str">
            <v xml:space="preserve"> </v>
          </cell>
        </row>
        <row r="3479">
          <cell r="A3479" t="str">
            <v xml:space="preserve"> </v>
          </cell>
        </row>
        <row r="3480">
          <cell r="A3480" t="str">
            <v xml:space="preserve"> </v>
          </cell>
        </row>
        <row r="3481">
          <cell r="A3481" t="str">
            <v xml:space="preserve"> </v>
          </cell>
        </row>
        <row r="3482">
          <cell r="A3482" t="str">
            <v xml:space="preserve"> </v>
          </cell>
        </row>
        <row r="3483">
          <cell r="A3483" t="str">
            <v xml:space="preserve"> </v>
          </cell>
        </row>
        <row r="3484">
          <cell r="A3484" t="str">
            <v xml:space="preserve"> </v>
          </cell>
        </row>
        <row r="3485">
          <cell r="A3485" t="str">
            <v xml:space="preserve"> </v>
          </cell>
        </row>
        <row r="3486">
          <cell r="A3486" t="str">
            <v xml:space="preserve"> </v>
          </cell>
        </row>
        <row r="3487">
          <cell r="A3487" t="str">
            <v xml:space="preserve"> </v>
          </cell>
        </row>
        <row r="3488">
          <cell r="A3488" t="str">
            <v xml:space="preserve"> </v>
          </cell>
        </row>
        <row r="3489">
          <cell r="A3489" t="str">
            <v xml:space="preserve"> </v>
          </cell>
        </row>
        <row r="3490">
          <cell r="A3490" t="str">
            <v xml:space="preserve"> </v>
          </cell>
        </row>
        <row r="3491">
          <cell r="A3491" t="str">
            <v xml:space="preserve"> </v>
          </cell>
        </row>
        <row r="3492">
          <cell r="A3492" t="str">
            <v xml:space="preserve"> </v>
          </cell>
        </row>
        <row r="3493">
          <cell r="A3493" t="str">
            <v xml:space="preserve"> </v>
          </cell>
        </row>
        <row r="3494">
          <cell r="A3494" t="str">
            <v xml:space="preserve"> </v>
          </cell>
        </row>
        <row r="3495">
          <cell r="A3495" t="str">
            <v xml:space="preserve"> </v>
          </cell>
        </row>
        <row r="3496">
          <cell r="A3496" t="str">
            <v xml:space="preserve"> </v>
          </cell>
        </row>
        <row r="3497">
          <cell r="A3497" t="str">
            <v xml:space="preserve"> </v>
          </cell>
        </row>
        <row r="3498">
          <cell r="A3498" t="str">
            <v xml:space="preserve"> </v>
          </cell>
        </row>
        <row r="3499">
          <cell r="A3499" t="str">
            <v xml:space="preserve"> </v>
          </cell>
        </row>
        <row r="3500">
          <cell r="A3500" t="str">
            <v xml:space="preserve"> </v>
          </cell>
        </row>
        <row r="3501">
          <cell r="A3501" t="str">
            <v xml:space="preserve"> </v>
          </cell>
        </row>
        <row r="3502">
          <cell r="A3502" t="str">
            <v xml:space="preserve"> </v>
          </cell>
        </row>
        <row r="3503">
          <cell r="A3503" t="str">
            <v xml:space="preserve"> </v>
          </cell>
        </row>
        <row r="3504">
          <cell r="A3504" t="str">
            <v xml:space="preserve"> </v>
          </cell>
        </row>
        <row r="3505">
          <cell r="A3505" t="str">
            <v xml:space="preserve"> </v>
          </cell>
        </row>
        <row r="3506">
          <cell r="A3506" t="str">
            <v xml:space="preserve"> </v>
          </cell>
        </row>
        <row r="3507">
          <cell r="A3507" t="str">
            <v xml:space="preserve"> </v>
          </cell>
        </row>
        <row r="3508">
          <cell r="A3508" t="str">
            <v xml:space="preserve"> </v>
          </cell>
        </row>
        <row r="3509">
          <cell r="A3509" t="str">
            <v xml:space="preserve"> </v>
          </cell>
        </row>
        <row r="3510">
          <cell r="A3510" t="str">
            <v xml:space="preserve"> </v>
          </cell>
        </row>
        <row r="3511">
          <cell r="A3511" t="str">
            <v xml:space="preserve"> </v>
          </cell>
        </row>
        <row r="3512">
          <cell r="A3512" t="str">
            <v xml:space="preserve"> </v>
          </cell>
        </row>
        <row r="3513">
          <cell r="A3513" t="str">
            <v xml:space="preserve"> </v>
          </cell>
        </row>
        <row r="3514">
          <cell r="A3514" t="str">
            <v xml:space="preserve"> </v>
          </cell>
        </row>
        <row r="3515">
          <cell r="A3515" t="str">
            <v xml:space="preserve"> </v>
          </cell>
        </row>
        <row r="3516">
          <cell r="A3516" t="str">
            <v xml:space="preserve"> </v>
          </cell>
        </row>
        <row r="3517">
          <cell r="A3517" t="str">
            <v xml:space="preserve"> </v>
          </cell>
        </row>
        <row r="3518">
          <cell r="A3518" t="str">
            <v xml:space="preserve"> </v>
          </cell>
        </row>
        <row r="3519">
          <cell r="A3519" t="str">
            <v xml:space="preserve"> </v>
          </cell>
        </row>
        <row r="3520">
          <cell r="A3520" t="str">
            <v xml:space="preserve"> </v>
          </cell>
        </row>
        <row r="3521">
          <cell r="A3521" t="str">
            <v xml:space="preserve"> </v>
          </cell>
        </row>
        <row r="3522">
          <cell r="A3522" t="str">
            <v xml:space="preserve"> </v>
          </cell>
        </row>
        <row r="3523">
          <cell r="A3523" t="str">
            <v xml:space="preserve"> </v>
          </cell>
        </row>
        <row r="3524">
          <cell r="A3524" t="str">
            <v xml:space="preserve"> </v>
          </cell>
        </row>
        <row r="3525">
          <cell r="A3525" t="str">
            <v xml:space="preserve"> </v>
          </cell>
        </row>
        <row r="3526">
          <cell r="A3526" t="str">
            <v xml:space="preserve"> </v>
          </cell>
        </row>
        <row r="3527">
          <cell r="A3527" t="str">
            <v xml:space="preserve"> </v>
          </cell>
        </row>
        <row r="3528">
          <cell r="A3528" t="str">
            <v xml:space="preserve"> </v>
          </cell>
        </row>
        <row r="3529">
          <cell r="A3529" t="str">
            <v xml:space="preserve"> </v>
          </cell>
        </row>
        <row r="3530">
          <cell r="A3530" t="str">
            <v xml:space="preserve"> </v>
          </cell>
        </row>
        <row r="3531">
          <cell r="A3531" t="str">
            <v xml:space="preserve"> </v>
          </cell>
        </row>
        <row r="3532">
          <cell r="A3532" t="str">
            <v xml:space="preserve"> </v>
          </cell>
        </row>
        <row r="3533">
          <cell r="A3533" t="str">
            <v xml:space="preserve"> </v>
          </cell>
        </row>
        <row r="3534">
          <cell r="A3534" t="str">
            <v xml:space="preserve"> </v>
          </cell>
        </row>
        <row r="3535">
          <cell r="A3535" t="str">
            <v xml:space="preserve"> </v>
          </cell>
        </row>
        <row r="3536">
          <cell r="A3536" t="str">
            <v xml:space="preserve"> </v>
          </cell>
        </row>
        <row r="3537">
          <cell r="A3537" t="str">
            <v xml:space="preserve"> </v>
          </cell>
        </row>
        <row r="3538">
          <cell r="A3538" t="str">
            <v xml:space="preserve"> </v>
          </cell>
        </row>
        <row r="3539">
          <cell r="A3539" t="str">
            <v xml:space="preserve"> </v>
          </cell>
        </row>
        <row r="3540">
          <cell r="A3540" t="str">
            <v xml:space="preserve"> </v>
          </cell>
        </row>
        <row r="3541">
          <cell r="A3541" t="str">
            <v xml:space="preserve"> </v>
          </cell>
        </row>
        <row r="3542">
          <cell r="A3542" t="str">
            <v xml:space="preserve"> </v>
          </cell>
        </row>
        <row r="3543">
          <cell r="A3543" t="str">
            <v xml:space="preserve"> </v>
          </cell>
        </row>
        <row r="3544">
          <cell r="A3544" t="str">
            <v xml:space="preserve"> </v>
          </cell>
        </row>
        <row r="3545">
          <cell r="A3545" t="str">
            <v xml:space="preserve"> </v>
          </cell>
        </row>
        <row r="3546">
          <cell r="A3546" t="str">
            <v xml:space="preserve"> </v>
          </cell>
        </row>
        <row r="3547">
          <cell r="A3547" t="str">
            <v xml:space="preserve"> </v>
          </cell>
        </row>
        <row r="3548">
          <cell r="A3548" t="str">
            <v xml:space="preserve"> </v>
          </cell>
        </row>
        <row r="3549">
          <cell r="A3549" t="str">
            <v xml:space="preserve"> </v>
          </cell>
        </row>
        <row r="3550">
          <cell r="A3550" t="str">
            <v xml:space="preserve"> </v>
          </cell>
        </row>
        <row r="3551">
          <cell r="A3551" t="str">
            <v xml:space="preserve"> </v>
          </cell>
        </row>
        <row r="3552">
          <cell r="A3552" t="str">
            <v xml:space="preserve"> </v>
          </cell>
        </row>
        <row r="3553">
          <cell r="A3553" t="str">
            <v xml:space="preserve"> </v>
          </cell>
        </row>
        <row r="3554">
          <cell r="A3554" t="str">
            <v xml:space="preserve"> </v>
          </cell>
        </row>
        <row r="3555">
          <cell r="A3555" t="str">
            <v xml:space="preserve"> </v>
          </cell>
        </row>
        <row r="3556">
          <cell r="A3556" t="str">
            <v xml:space="preserve"> </v>
          </cell>
        </row>
        <row r="3557">
          <cell r="A3557" t="str">
            <v xml:space="preserve"> </v>
          </cell>
        </row>
        <row r="3558">
          <cell r="A3558" t="str">
            <v xml:space="preserve"> </v>
          </cell>
        </row>
        <row r="3559">
          <cell r="A3559" t="str">
            <v xml:space="preserve"> </v>
          </cell>
        </row>
        <row r="3560">
          <cell r="A3560" t="str">
            <v xml:space="preserve"> </v>
          </cell>
        </row>
        <row r="3561">
          <cell r="A3561" t="str">
            <v xml:space="preserve"> </v>
          </cell>
        </row>
        <row r="3562">
          <cell r="A3562" t="str">
            <v xml:space="preserve"> </v>
          </cell>
        </row>
        <row r="3563">
          <cell r="A3563" t="str">
            <v xml:space="preserve"> </v>
          </cell>
        </row>
        <row r="3564">
          <cell r="A3564" t="str">
            <v xml:space="preserve"> </v>
          </cell>
        </row>
        <row r="3565">
          <cell r="A3565" t="str">
            <v xml:space="preserve"> </v>
          </cell>
        </row>
        <row r="3566">
          <cell r="A3566" t="str">
            <v xml:space="preserve"> </v>
          </cell>
        </row>
        <row r="3567">
          <cell r="A3567" t="str">
            <v xml:space="preserve"> </v>
          </cell>
        </row>
        <row r="3568">
          <cell r="A3568" t="str">
            <v xml:space="preserve"> </v>
          </cell>
        </row>
        <row r="3569">
          <cell r="A3569" t="str">
            <v xml:space="preserve"> </v>
          </cell>
        </row>
        <row r="3570">
          <cell r="A3570" t="str">
            <v xml:space="preserve"> </v>
          </cell>
        </row>
        <row r="3571">
          <cell r="A3571" t="str">
            <v xml:space="preserve"> </v>
          </cell>
        </row>
        <row r="3572">
          <cell r="A3572" t="str">
            <v xml:space="preserve"> </v>
          </cell>
        </row>
        <row r="3573">
          <cell r="A3573" t="str">
            <v xml:space="preserve"> </v>
          </cell>
        </row>
        <row r="3574">
          <cell r="A3574" t="str">
            <v xml:space="preserve"> </v>
          </cell>
        </row>
        <row r="3575">
          <cell r="A3575" t="str">
            <v xml:space="preserve"> </v>
          </cell>
        </row>
        <row r="3576">
          <cell r="A3576" t="str">
            <v xml:space="preserve"> </v>
          </cell>
        </row>
        <row r="3577">
          <cell r="A3577" t="str">
            <v xml:space="preserve"> </v>
          </cell>
        </row>
        <row r="3578">
          <cell r="A3578" t="str">
            <v xml:space="preserve"> </v>
          </cell>
        </row>
        <row r="3579">
          <cell r="A3579" t="str">
            <v xml:space="preserve"> </v>
          </cell>
        </row>
        <row r="3580">
          <cell r="A3580" t="str">
            <v xml:space="preserve"> </v>
          </cell>
        </row>
        <row r="3581">
          <cell r="A3581" t="str">
            <v xml:space="preserve"> </v>
          </cell>
        </row>
        <row r="3582">
          <cell r="A3582" t="str">
            <v xml:space="preserve"> </v>
          </cell>
        </row>
        <row r="3583">
          <cell r="A3583" t="str">
            <v xml:space="preserve"> </v>
          </cell>
        </row>
        <row r="3584">
          <cell r="A3584" t="str">
            <v xml:space="preserve"> </v>
          </cell>
        </row>
        <row r="3585">
          <cell r="A3585" t="str">
            <v xml:space="preserve"> </v>
          </cell>
        </row>
        <row r="3586">
          <cell r="A3586" t="str">
            <v xml:space="preserve"> </v>
          </cell>
        </row>
        <row r="3587">
          <cell r="A3587" t="str">
            <v xml:space="preserve"> </v>
          </cell>
        </row>
        <row r="3588">
          <cell r="A3588" t="str">
            <v xml:space="preserve"> </v>
          </cell>
        </row>
        <row r="3589">
          <cell r="A3589" t="str">
            <v xml:space="preserve"> </v>
          </cell>
        </row>
        <row r="3590">
          <cell r="A3590" t="str">
            <v xml:space="preserve"> </v>
          </cell>
        </row>
        <row r="3591">
          <cell r="A3591" t="str">
            <v xml:space="preserve"> </v>
          </cell>
        </row>
        <row r="3592">
          <cell r="A3592" t="str">
            <v xml:space="preserve"> </v>
          </cell>
        </row>
        <row r="3593">
          <cell r="A3593" t="str">
            <v xml:space="preserve"> </v>
          </cell>
        </row>
        <row r="3594">
          <cell r="A3594" t="str">
            <v xml:space="preserve"> </v>
          </cell>
        </row>
        <row r="3595">
          <cell r="A3595" t="str">
            <v xml:space="preserve"> </v>
          </cell>
        </row>
        <row r="3596">
          <cell r="A3596" t="str">
            <v xml:space="preserve"> </v>
          </cell>
        </row>
        <row r="3597">
          <cell r="A3597" t="str">
            <v xml:space="preserve"> </v>
          </cell>
        </row>
        <row r="3598">
          <cell r="A3598" t="str">
            <v xml:space="preserve"> </v>
          </cell>
        </row>
        <row r="3599">
          <cell r="A3599" t="str">
            <v xml:space="preserve"> </v>
          </cell>
        </row>
        <row r="3600">
          <cell r="A3600" t="str">
            <v xml:space="preserve"> </v>
          </cell>
        </row>
        <row r="3601">
          <cell r="A3601" t="str">
            <v xml:space="preserve"> </v>
          </cell>
        </row>
        <row r="3602">
          <cell r="A3602" t="str">
            <v xml:space="preserve"> </v>
          </cell>
        </row>
        <row r="3603">
          <cell r="A3603" t="str">
            <v xml:space="preserve"> </v>
          </cell>
        </row>
        <row r="3604">
          <cell r="A3604" t="str">
            <v xml:space="preserve"> </v>
          </cell>
        </row>
        <row r="3605">
          <cell r="A3605" t="str">
            <v xml:space="preserve"> </v>
          </cell>
        </row>
        <row r="3606">
          <cell r="A3606" t="str">
            <v xml:space="preserve"> </v>
          </cell>
        </row>
        <row r="3607">
          <cell r="A3607" t="str">
            <v xml:space="preserve"> </v>
          </cell>
        </row>
        <row r="3608">
          <cell r="A3608" t="str">
            <v xml:space="preserve"> </v>
          </cell>
        </row>
        <row r="3609">
          <cell r="A3609" t="str">
            <v xml:space="preserve"> </v>
          </cell>
        </row>
        <row r="3610">
          <cell r="A3610" t="str">
            <v xml:space="preserve"> </v>
          </cell>
        </row>
        <row r="3611">
          <cell r="A3611" t="str">
            <v xml:space="preserve"> </v>
          </cell>
        </row>
        <row r="3612">
          <cell r="A3612" t="str">
            <v xml:space="preserve"> </v>
          </cell>
        </row>
        <row r="3613">
          <cell r="A3613" t="str">
            <v xml:space="preserve"> </v>
          </cell>
        </row>
        <row r="3614">
          <cell r="A3614" t="str">
            <v xml:space="preserve"> </v>
          </cell>
        </row>
        <row r="3615">
          <cell r="A3615" t="str">
            <v xml:space="preserve"> </v>
          </cell>
        </row>
        <row r="3616">
          <cell r="A3616" t="str">
            <v xml:space="preserve"> </v>
          </cell>
        </row>
        <row r="3617">
          <cell r="A3617" t="str">
            <v xml:space="preserve"> </v>
          </cell>
        </row>
        <row r="3618">
          <cell r="A3618" t="str">
            <v xml:space="preserve"> </v>
          </cell>
        </row>
        <row r="3619">
          <cell r="A3619" t="str">
            <v xml:space="preserve"> </v>
          </cell>
        </row>
        <row r="3620">
          <cell r="A3620" t="str">
            <v xml:space="preserve"> </v>
          </cell>
        </row>
        <row r="3621">
          <cell r="A3621" t="str">
            <v xml:space="preserve"> </v>
          </cell>
        </row>
        <row r="3622">
          <cell r="A3622" t="str">
            <v xml:space="preserve"> </v>
          </cell>
        </row>
        <row r="3623">
          <cell r="A3623" t="str">
            <v xml:space="preserve"> </v>
          </cell>
        </row>
        <row r="3624">
          <cell r="A3624" t="str">
            <v xml:space="preserve"> </v>
          </cell>
        </row>
        <row r="3625">
          <cell r="A3625" t="str">
            <v xml:space="preserve"> </v>
          </cell>
        </row>
        <row r="3626">
          <cell r="A3626" t="str">
            <v xml:space="preserve"> </v>
          </cell>
        </row>
        <row r="3627">
          <cell r="A3627" t="str">
            <v xml:space="preserve"> </v>
          </cell>
        </row>
        <row r="3628">
          <cell r="A3628" t="str">
            <v xml:space="preserve"> </v>
          </cell>
        </row>
        <row r="3629">
          <cell r="A3629" t="str">
            <v xml:space="preserve"> </v>
          </cell>
        </row>
        <row r="3630">
          <cell r="A3630" t="str">
            <v xml:space="preserve"> </v>
          </cell>
        </row>
        <row r="3631">
          <cell r="A3631" t="str">
            <v xml:space="preserve"> </v>
          </cell>
        </row>
        <row r="3632">
          <cell r="A3632" t="str">
            <v xml:space="preserve"> </v>
          </cell>
        </row>
        <row r="3633">
          <cell r="A3633" t="str">
            <v xml:space="preserve"> </v>
          </cell>
        </row>
        <row r="3634">
          <cell r="A3634" t="str">
            <v xml:space="preserve"> </v>
          </cell>
        </row>
        <row r="3635">
          <cell r="A3635" t="str">
            <v xml:space="preserve"> </v>
          </cell>
        </row>
        <row r="3636">
          <cell r="A3636" t="str">
            <v xml:space="preserve"> </v>
          </cell>
        </row>
        <row r="3637">
          <cell r="A3637" t="str">
            <v xml:space="preserve"> </v>
          </cell>
        </row>
        <row r="3638">
          <cell r="A3638" t="str">
            <v xml:space="preserve"> </v>
          </cell>
        </row>
        <row r="3639">
          <cell r="A3639" t="str">
            <v xml:space="preserve"> </v>
          </cell>
        </row>
        <row r="3640">
          <cell r="A3640" t="str">
            <v xml:space="preserve"> </v>
          </cell>
        </row>
        <row r="3641">
          <cell r="A3641" t="str">
            <v xml:space="preserve"> </v>
          </cell>
        </row>
        <row r="3642">
          <cell r="A3642" t="str">
            <v xml:space="preserve"> </v>
          </cell>
        </row>
        <row r="3643">
          <cell r="A3643" t="str">
            <v xml:space="preserve"> </v>
          </cell>
        </row>
        <row r="3644">
          <cell r="A3644" t="str">
            <v xml:space="preserve"> </v>
          </cell>
        </row>
        <row r="3645">
          <cell r="A3645" t="str">
            <v xml:space="preserve"> </v>
          </cell>
        </row>
        <row r="3646">
          <cell r="A3646" t="str">
            <v xml:space="preserve"> </v>
          </cell>
        </row>
        <row r="3647">
          <cell r="A3647" t="str">
            <v xml:space="preserve"> </v>
          </cell>
        </row>
        <row r="3648">
          <cell r="A3648" t="str">
            <v xml:space="preserve"> </v>
          </cell>
        </row>
        <row r="3649">
          <cell r="A3649" t="str">
            <v xml:space="preserve"> </v>
          </cell>
        </row>
        <row r="3650">
          <cell r="A3650" t="str">
            <v xml:space="preserve"> </v>
          </cell>
        </row>
        <row r="3651">
          <cell r="A3651" t="str">
            <v xml:space="preserve"> </v>
          </cell>
        </row>
        <row r="3652">
          <cell r="A3652" t="str">
            <v xml:space="preserve"> </v>
          </cell>
        </row>
        <row r="3653">
          <cell r="A3653" t="str">
            <v xml:space="preserve"> </v>
          </cell>
        </row>
        <row r="3654">
          <cell r="A3654" t="str">
            <v xml:space="preserve"> </v>
          </cell>
        </row>
        <row r="3655">
          <cell r="A3655" t="str">
            <v xml:space="preserve"> </v>
          </cell>
        </row>
        <row r="3656">
          <cell r="A3656" t="str">
            <v xml:space="preserve"> </v>
          </cell>
        </row>
        <row r="3657">
          <cell r="A3657" t="str">
            <v xml:space="preserve"> </v>
          </cell>
        </row>
        <row r="3658">
          <cell r="A3658" t="str">
            <v xml:space="preserve"> </v>
          </cell>
        </row>
        <row r="3659">
          <cell r="A3659" t="str">
            <v xml:space="preserve"> </v>
          </cell>
        </row>
        <row r="3660">
          <cell r="A3660" t="str">
            <v xml:space="preserve"> </v>
          </cell>
        </row>
        <row r="3661">
          <cell r="A3661" t="str">
            <v xml:space="preserve"> </v>
          </cell>
        </row>
        <row r="3662">
          <cell r="A3662" t="str">
            <v xml:space="preserve"> </v>
          </cell>
        </row>
        <row r="3663">
          <cell r="A3663" t="str">
            <v xml:space="preserve"> </v>
          </cell>
        </row>
        <row r="3664">
          <cell r="A3664" t="str">
            <v xml:space="preserve"> </v>
          </cell>
        </row>
        <row r="3665">
          <cell r="A3665" t="str">
            <v xml:space="preserve"> </v>
          </cell>
        </row>
        <row r="3666">
          <cell r="A3666" t="str">
            <v xml:space="preserve"> </v>
          </cell>
        </row>
        <row r="3667">
          <cell r="A3667" t="str">
            <v xml:space="preserve"> </v>
          </cell>
        </row>
        <row r="3668">
          <cell r="A3668" t="str">
            <v xml:space="preserve"> </v>
          </cell>
        </row>
        <row r="3669">
          <cell r="A3669" t="str">
            <v xml:space="preserve"> </v>
          </cell>
        </row>
        <row r="3670">
          <cell r="A3670" t="str">
            <v xml:space="preserve"> </v>
          </cell>
        </row>
        <row r="3671">
          <cell r="A3671" t="str">
            <v xml:space="preserve"> </v>
          </cell>
        </row>
        <row r="3672">
          <cell r="A3672" t="str">
            <v xml:space="preserve"> </v>
          </cell>
        </row>
        <row r="3673">
          <cell r="A3673" t="str">
            <v xml:space="preserve"> </v>
          </cell>
        </row>
        <row r="3674">
          <cell r="A3674" t="str">
            <v xml:space="preserve"> </v>
          </cell>
        </row>
        <row r="3675">
          <cell r="A3675" t="str">
            <v xml:space="preserve"> </v>
          </cell>
        </row>
        <row r="3676">
          <cell r="A3676" t="str">
            <v xml:space="preserve"> </v>
          </cell>
        </row>
        <row r="3677">
          <cell r="A3677" t="str">
            <v xml:space="preserve"> </v>
          </cell>
        </row>
        <row r="3678">
          <cell r="A3678" t="str">
            <v xml:space="preserve"> </v>
          </cell>
        </row>
        <row r="3679">
          <cell r="A3679" t="str">
            <v xml:space="preserve"> </v>
          </cell>
        </row>
        <row r="3680">
          <cell r="A3680" t="str">
            <v xml:space="preserve"> </v>
          </cell>
        </row>
        <row r="3681">
          <cell r="A3681" t="str">
            <v xml:space="preserve"> </v>
          </cell>
        </row>
        <row r="3682">
          <cell r="A3682" t="str">
            <v xml:space="preserve"> </v>
          </cell>
        </row>
        <row r="3683">
          <cell r="A3683" t="str">
            <v xml:space="preserve"> </v>
          </cell>
        </row>
        <row r="3684">
          <cell r="A3684" t="str">
            <v xml:space="preserve"> </v>
          </cell>
        </row>
        <row r="3685">
          <cell r="A3685" t="str">
            <v xml:space="preserve"> </v>
          </cell>
        </row>
        <row r="3686">
          <cell r="A3686" t="str">
            <v xml:space="preserve"> </v>
          </cell>
        </row>
        <row r="3687">
          <cell r="A3687" t="str">
            <v xml:space="preserve"> </v>
          </cell>
        </row>
        <row r="3688">
          <cell r="A3688" t="str">
            <v xml:space="preserve"> </v>
          </cell>
        </row>
        <row r="3689">
          <cell r="A3689" t="str">
            <v xml:space="preserve"> </v>
          </cell>
        </row>
        <row r="3690">
          <cell r="A3690" t="str">
            <v xml:space="preserve"> </v>
          </cell>
        </row>
        <row r="3691">
          <cell r="A3691" t="str">
            <v xml:space="preserve"> </v>
          </cell>
        </row>
        <row r="3692">
          <cell r="A3692" t="str">
            <v xml:space="preserve"> </v>
          </cell>
        </row>
        <row r="3693">
          <cell r="A3693" t="str">
            <v xml:space="preserve"> </v>
          </cell>
        </row>
        <row r="3694">
          <cell r="A3694" t="str">
            <v xml:space="preserve"> </v>
          </cell>
        </row>
        <row r="3695">
          <cell r="A3695" t="str">
            <v xml:space="preserve"> </v>
          </cell>
        </row>
        <row r="3696">
          <cell r="A3696" t="str">
            <v xml:space="preserve"> </v>
          </cell>
        </row>
        <row r="3697">
          <cell r="A3697" t="str">
            <v xml:space="preserve"> </v>
          </cell>
        </row>
        <row r="3698">
          <cell r="A3698" t="str">
            <v xml:space="preserve"> </v>
          </cell>
        </row>
        <row r="3699">
          <cell r="A3699" t="str">
            <v xml:space="preserve"> </v>
          </cell>
        </row>
        <row r="3700">
          <cell r="A3700" t="str">
            <v xml:space="preserve"> </v>
          </cell>
        </row>
        <row r="3701">
          <cell r="A3701" t="str">
            <v xml:space="preserve"> </v>
          </cell>
        </row>
        <row r="3702">
          <cell r="A3702" t="str">
            <v xml:space="preserve"> </v>
          </cell>
        </row>
        <row r="3703">
          <cell r="A3703" t="str">
            <v xml:space="preserve"> </v>
          </cell>
        </row>
        <row r="3704">
          <cell r="A3704" t="str">
            <v xml:space="preserve"> </v>
          </cell>
        </row>
        <row r="3705">
          <cell r="A3705" t="str">
            <v xml:space="preserve"> </v>
          </cell>
        </row>
        <row r="3706">
          <cell r="A3706" t="str">
            <v xml:space="preserve"> </v>
          </cell>
        </row>
        <row r="3707">
          <cell r="A3707" t="str">
            <v xml:space="preserve"> </v>
          </cell>
        </row>
        <row r="3708">
          <cell r="A3708" t="str">
            <v xml:space="preserve"> </v>
          </cell>
        </row>
        <row r="3709">
          <cell r="A3709" t="str">
            <v xml:space="preserve"> </v>
          </cell>
        </row>
        <row r="3710">
          <cell r="A3710" t="str">
            <v xml:space="preserve"> </v>
          </cell>
        </row>
        <row r="3711">
          <cell r="A3711" t="str">
            <v xml:space="preserve"> </v>
          </cell>
        </row>
        <row r="3712">
          <cell r="A3712" t="str">
            <v xml:space="preserve"> </v>
          </cell>
        </row>
        <row r="3713">
          <cell r="A3713" t="str">
            <v xml:space="preserve"> </v>
          </cell>
        </row>
        <row r="3714">
          <cell r="A3714" t="str">
            <v xml:space="preserve"> </v>
          </cell>
        </row>
        <row r="3715">
          <cell r="A3715" t="str">
            <v xml:space="preserve"> </v>
          </cell>
        </row>
        <row r="3716">
          <cell r="A3716" t="str">
            <v xml:space="preserve"> </v>
          </cell>
        </row>
        <row r="3717">
          <cell r="A3717" t="str">
            <v xml:space="preserve"> </v>
          </cell>
        </row>
        <row r="3718">
          <cell r="A3718" t="str">
            <v xml:space="preserve"> </v>
          </cell>
        </row>
        <row r="3719">
          <cell r="A3719" t="str">
            <v xml:space="preserve"> </v>
          </cell>
        </row>
        <row r="3720">
          <cell r="A3720" t="str">
            <v xml:space="preserve"> </v>
          </cell>
        </row>
        <row r="3721">
          <cell r="A3721" t="str">
            <v xml:space="preserve"> </v>
          </cell>
        </row>
        <row r="3722">
          <cell r="A3722" t="str">
            <v xml:space="preserve"> </v>
          </cell>
        </row>
        <row r="3723">
          <cell r="A3723" t="str">
            <v xml:space="preserve"> </v>
          </cell>
        </row>
        <row r="3724">
          <cell r="A3724" t="str">
            <v xml:space="preserve"> </v>
          </cell>
        </row>
        <row r="3725">
          <cell r="A3725" t="str">
            <v xml:space="preserve"> </v>
          </cell>
        </row>
        <row r="3726">
          <cell r="A3726" t="str">
            <v xml:space="preserve"> </v>
          </cell>
        </row>
        <row r="3727">
          <cell r="A3727" t="str">
            <v xml:space="preserve"> </v>
          </cell>
        </row>
        <row r="3728">
          <cell r="A3728" t="str">
            <v xml:space="preserve"> </v>
          </cell>
        </row>
        <row r="3729">
          <cell r="A3729" t="str">
            <v xml:space="preserve"> </v>
          </cell>
        </row>
        <row r="3730">
          <cell r="A3730" t="str">
            <v xml:space="preserve"> </v>
          </cell>
        </row>
        <row r="3731">
          <cell r="A3731" t="str">
            <v xml:space="preserve"> </v>
          </cell>
        </row>
        <row r="3732">
          <cell r="A3732" t="str">
            <v xml:space="preserve"> </v>
          </cell>
        </row>
        <row r="3733">
          <cell r="A3733" t="str">
            <v xml:space="preserve"> </v>
          </cell>
        </row>
        <row r="3734">
          <cell r="A3734" t="str">
            <v xml:space="preserve"> </v>
          </cell>
        </row>
        <row r="3735">
          <cell r="A3735" t="str">
            <v xml:space="preserve"> </v>
          </cell>
        </row>
        <row r="3736">
          <cell r="A3736" t="str">
            <v xml:space="preserve"> </v>
          </cell>
        </row>
        <row r="3737">
          <cell r="A3737" t="str">
            <v xml:space="preserve"> </v>
          </cell>
        </row>
        <row r="3738">
          <cell r="A3738" t="str">
            <v xml:space="preserve"> </v>
          </cell>
        </row>
        <row r="3739">
          <cell r="A3739" t="str">
            <v xml:space="preserve"> </v>
          </cell>
        </row>
        <row r="3740">
          <cell r="A3740" t="str">
            <v xml:space="preserve"> </v>
          </cell>
        </row>
        <row r="3741">
          <cell r="A3741" t="str">
            <v xml:space="preserve"> </v>
          </cell>
        </row>
        <row r="3742">
          <cell r="A3742" t="str">
            <v xml:space="preserve"> </v>
          </cell>
        </row>
        <row r="3743">
          <cell r="A3743" t="str">
            <v xml:space="preserve"> </v>
          </cell>
        </row>
        <row r="3744">
          <cell r="A3744" t="str">
            <v xml:space="preserve"> </v>
          </cell>
        </row>
        <row r="3745">
          <cell r="A3745" t="str">
            <v xml:space="preserve"> </v>
          </cell>
        </row>
        <row r="3746">
          <cell r="A3746" t="str">
            <v xml:space="preserve"> </v>
          </cell>
        </row>
        <row r="3747">
          <cell r="A3747" t="str">
            <v xml:space="preserve"> </v>
          </cell>
        </row>
        <row r="3748">
          <cell r="A3748" t="str">
            <v xml:space="preserve"> </v>
          </cell>
        </row>
        <row r="3749">
          <cell r="A3749" t="str">
            <v xml:space="preserve"> </v>
          </cell>
        </row>
        <row r="3750">
          <cell r="A3750" t="str">
            <v xml:space="preserve"> </v>
          </cell>
        </row>
        <row r="3751">
          <cell r="A3751" t="str">
            <v xml:space="preserve"> </v>
          </cell>
        </row>
        <row r="3752">
          <cell r="A3752" t="str">
            <v xml:space="preserve"> </v>
          </cell>
        </row>
        <row r="3753">
          <cell r="A3753" t="str">
            <v xml:space="preserve"> </v>
          </cell>
        </row>
        <row r="3754">
          <cell r="A3754" t="str">
            <v xml:space="preserve"> </v>
          </cell>
        </row>
        <row r="3755">
          <cell r="A3755" t="str">
            <v xml:space="preserve"> </v>
          </cell>
        </row>
        <row r="3756">
          <cell r="A3756" t="str">
            <v xml:space="preserve"> </v>
          </cell>
        </row>
        <row r="3757">
          <cell r="A3757" t="str">
            <v xml:space="preserve"> </v>
          </cell>
        </row>
        <row r="3758">
          <cell r="A3758" t="str">
            <v xml:space="preserve"> </v>
          </cell>
        </row>
        <row r="3759">
          <cell r="A3759" t="str">
            <v xml:space="preserve"> </v>
          </cell>
        </row>
        <row r="3760">
          <cell r="A3760" t="str">
            <v xml:space="preserve"> </v>
          </cell>
        </row>
        <row r="3761">
          <cell r="A3761" t="str">
            <v xml:space="preserve"> </v>
          </cell>
        </row>
        <row r="3762">
          <cell r="A3762" t="str">
            <v xml:space="preserve"> </v>
          </cell>
        </row>
        <row r="3763">
          <cell r="A3763" t="str">
            <v xml:space="preserve"> </v>
          </cell>
        </row>
        <row r="3764">
          <cell r="A3764" t="str">
            <v xml:space="preserve"> </v>
          </cell>
        </row>
        <row r="3765">
          <cell r="A3765" t="str">
            <v xml:space="preserve"> </v>
          </cell>
        </row>
        <row r="3766">
          <cell r="A3766" t="str">
            <v xml:space="preserve"> </v>
          </cell>
        </row>
        <row r="3767">
          <cell r="A3767" t="str">
            <v xml:space="preserve"> </v>
          </cell>
        </row>
        <row r="3768">
          <cell r="A3768" t="str">
            <v xml:space="preserve"> </v>
          </cell>
        </row>
        <row r="3769">
          <cell r="A3769" t="str">
            <v xml:space="preserve"> </v>
          </cell>
        </row>
        <row r="3770">
          <cell r="A3770" t="str">
            <v xml:space="preserve"> </v>
          </cell>
        </row>
        <row r="3771">
          <cell r="A3771" t="str">
            <v xml:space="preserve"> </v>
          </cell>
        </row>
        <row r="3772">
          <cell r="A3772" t="str">
            <v xml:space="preserve"> </v>
          </cell>
        </row>
        <row r="3773">
          <cell r="A3773" t="str">
            <v xml:space="preserve"> </v>
          </cell>
        </row>
        <row r="3774">
          <cell r="A3774" t="str">
            <v xml:space="preserve"> </v>
          </cell>
        </row>
        <row r="3775">
          <cell r="A3775" t="str">
            <v xml:space="preserve"> </v>
          </cell>
        </row>
        <row r="3776">
          <cell r="A3776" t="str">
            <v xml:space="preserve"> </v>
          </cell>
        </row>
        <row r="3777">
          <cell r="A3777" t="str">
            <v xml:space="preserve"> </v>
          </cell>
        </row>
        <row r="3778">
          <cell r="A3778" t="str">
            <v xml:space="preserve"> </v>
          </cell>
        </row>
        <row r="3779">
          <cell r="A3779" t="str">
            <v xml:space="preserve"> </v>
          </cell>
        </row>
        <row r="3780">
          <cell r="A3780" t="str">
            <v xml:space="preserve"> </v>
          </cell>
        </row>
        <row r="3781">
          <cell r="A3781" t="str">
            <v xml:space="preserve"> </v>
          </cell>
        </row>
        <row r="3782">
          <cell r="A3782" t="str">
            <v xml:space="preserve"> </v>
          </cell>
        </row>
        <row r="3783">
          <cell r="A3783" t="str">
            <v xml:space="preserve"> </v>
          </cell>
        </row>
        <row r="3784">
          <cell r="A3784" t="str">
            <v xml:space="preserve"> </v>
          </cell>
        </row>
        <row r="3785">
          <cell r="A3785" t="str">
            <v xml:space="preserve"> </v>
          </cell>
        </row>
        <row r="3786">
          <cell r="A3786" t="str">
            <v xml:space="preserve"> </v>
          </cell>
        </row>
        <row r="3787">
          <cell r="A3787" t="str">
            <v xml:space="preserve"> </v>
          </cell>
        </row>
        <row r="3788">
          <cell r="A3788" t="str">
            <v xml:space="preserve"> </v>
          </cell>
        </row>
        <row r="3789">
          <cell r="A3789" t="str">
            <v xml:space="preserve"> </v>
          </cell>
        </row>
        <row r="3790">
          <cell r="A3790" t="str">
            <v xml:space="preserve"> </v>
          </cell>
        </row>
        <row r="3791">
          <cell r="A3791" t="str">
            <v xml:space="preserve"> </v>
          </cell>
        </row>
        <row r="3792">
          <cell r="A3792" t="str">
            <v xml:space="preserve"> </v>
          </cell>
        </row>
        <row r="3793">
          <cell r="A3793" t="str">
            <v xml:space="preserve"> </v>
          </cell>
        </row>
        <row r="3794">
          <cell r="A3794" t="str">
            <v xml:space="preserve"> </v>
          </cell>
        </row>
        <row r="3795">
          <cell r="A3795" t="str">
            <v xml:space="preserve"> </v>
          </cell>
        </row>
        <row r="3796">
          <cell r="A3796" t="str">
            <v xml:space="preserve"> </v>
          </cell>
        </row>
        <row r="3797">
          <cell r="A3797" t="str">
            <v xml:space="preserve"> </v>
          </cell>
        </row>
        <row r="3798">
          <cell r="A3798" t="str">
            <v xml:space="preserve"> </v>
          </cell>
        </row>
        <row r="3799">
          <cell r="A3799" t="str">
            <v xml:space="preserve"> </v>
          </cell>
        </row>
        <row r="3800">
          <cell r="A3800" t="str">
            <v xml:space="preserve"> </v>
          </cell>
        </row>
        <row r="3801">
          <cell r="A3801" t="str">
            <v xml:space="preserve"> </v>
          </cell>
        </row>
        <row r="3802">
          <cell r="A3802" t="str">
            <v xml:space="preserve"> </v>
          </cell>
        </row>
        <row r="3803">
          <cell r="A3803" t="str">
            <v xml:space="preserve"> </v>
          </cell>
        </row>
        <row r="3804">
          <cell r="A3804" t="str">
            <v xml:space="preserve"> </v>
          </cell>
        </row>
        <row r="3805">
          <cell r="A3805" t="str">
            <v xml:space="preserve"> </v>
          </cell>
        </row>
        <row r="3806">
          <cell r="A3806" t="str">
            <v xml:space="preserve"> </v>
          </cell>
        </row>
        <row r="3807">
          <cell r="A3807" t="str">
            <v xml:space="preserve"> </v>
          </cell>
        </row>
        <row r="3808">
          <cell r="A3808" t="str">
            <v xml:space="preserve"> </v>
          </cell>
        </row>
        <row r="3809">
          <cell r="A3809" t="str">
            <v xml:space="preserve"> </v>
          </cell>
        </row>
        <row r="3810">
          <cell r="A3810" t="str">
            <v xml:space="preserve"> </v>
          </cell>
        </row>
        <row r="3811">
          <cell r="A3811" t="str">
            <v xml:space="preserve"> </v>
          </cell>
        </row>
        <row r="3812">
          <cell r="A3812" t="str">
            <v xml:space="preserve"> </v>
          </cell>
        </row>
        <row r="3813">
          <cell r="A3813" t="str">
            <v xml:space="preserve"> </v>
          </cell>
        </row>
        <row r="3814">
          <cell r="A3814" t="str">
            <v xml:space="preserve"> </v>
          </cell>
        </row>
        <row r="3815">
          <cell r="A3815" t="str">
            <v xml:space="preserve"> </v>
          </cell>
        </row>
        <row r="3816">
          <cell r="A3816" t="str">
            <v xml:space="preserve"> </v>
          </cell>
        </row>
        <row r="3817">
          <cell r="A3817" t="str">
            <v xml:space="preserve"> </v>
          </cell>
        </row>
        <row r="3818">
          <cell r="A3818" t="str">
            <v xml:space="preserve"> </v>
          </cell>
        </row>
        <row r="3819">
          <cell r="A3819" t="str">
            <v xml:space="preserve"> </v>
          </cell>
        </row>
        <row r="3820">
          <cell r="A3820" t="str">
            <v xml:space="preserve"> </v>
          </cell>
        </row>
        <row r="3821">
          <cell r="A3821" t="str">
            <v xml:space="preserve"> </v>
          </cell>
        </row>
        <row r="3822">
          <cell r="A3822" t="str">
            <v xml:space="preserve"> </v>
          </cell>
        </row>
        <row r="3823">
          <cell r="A3823" t="str">
            <v xml:space="preserve"> </v>
          </cell>
        </row>
        <row r="3824">
          <cell r="A3824" t="str">
            <v xml:space="preserve"> </v>
          </cell>
        </row>
        <row r="3825">
          <cell r="A3825" t="str">
            <v xml:space="preserve"> </v>
          </cell>
        </row>
        <row r="3826">
          <cell r="A3826" t="str">
            <v xml:space="preserve"> </v>
          </cell>
        </row>
        <row r="3827">
          <cell r="A3827" t="str">
            <v xml:space="preserve"> </v>
          </cell>
        </row>
        <row r="3828">
          <cell r="A3828" t="str">
            <v xml:space="preserve"> </v>
          </cell>
        </row>
        <row r="3829">
          <cell r="A3829" t="str">
            <v xml:space="preserve"> </v>
          </cell>
        </row>
        <row r="3830">
          <cell r="A3830" t="str">
            <v xml:space="preserve"> </v>
          </cell>
        </row>
        <row r="3831">
          <cell r="A3831" t="str">
            <v xml:space="preserve"> </v>
          </cell>
        </row>
        <row r="3832">
          <cell r="A3832" t="str">
            <v xml:space="preserve"> </v>
          </cell>
        </row>
        <row r="3833">
          <cell r="A3833" t="str">
            <v xml:space="preserve"> </v>
          </cell>
        </row>
        <row r="3834">
          <cell r="A3834" t="str">
            <v xml:space="preserve"> </v>
          </cell>
        </row>
        <row r="3835">
          <cell r="A3835" t="str">
            <v xml:space="preserve"> </v>
          </cell>
        </row>
        <row r="3836">
          <cell r="A3836" t="str">
            <v xml:space="preserve"> </v>
          </cell>
        </row>
        <row r="3837">
          <cell r="A3837" t="str">
            <v xml:space="preserve"> </v>
          </cell>
        </row>
        <row r="3838">
          <cell r="A3838" t="str">
            <v xml:space="preserve"> </v>
          </cell>
        </row>
        <row r="3839">
          <cell r="A3839" t="str">
            <v xml:space="preserve"> </v>
          </cell>
        </row>
        <row r="3840">
          <cell r="A3840" t="str">
            <v xml:space="preserve"> </v>
          </cell>
        </row>
        <row r="3841">
          <cell r="A3841" t="str">
            <v xml:space="preserve"> </v>
          </cell>
        </row>
        <row r="3842">
          <cell r="A3842" t="str">
            <v xml:space="preserve"> </v>
          </cell>
        </row>
        <row r="3843">
          <cell r="A3843" t="str">
            <v xml:space="preserve"> </v>
          </cell>
        </row>
        <row r="3844">
          <cell r="A3844" t="str">
            <v xml:space="preserve"> </v>
          </cell>
        </row>
        <row r="3845">
          <cell r="A3845" t="str">
            <v xml:space="preserve"> </v>
          </cell>
        </row>
        <row r="3846">
          <cell r="A3846" t="str">
            <v xml:space="preserve"> </v>
          </cell>
        </row>
        <row r="3847">
          <cell r="A3847" t="str">
            <v xml:space="preserve"> </v>
          </cell>
        </row>
        <row r="3848">
          <cell r="A3848" t="str">
            <v xml:space="preserve"> </v>
          </cell>
        </row>
        <row r="3849">
          <cell r="A3849" t="str">
            <v xml:space="preserve"> </v>
          </cell>
        </row>
        <row r="3850">
          <cell r="A3850" t="str">
            <v xml:space="preserve"> </v>
          </cell>
        </row>
        <row r="3851">
          <cell r="A3851" t="str">
            <v xml:space="preserve"> </v>
          </cell>
        </row>
        <row r="3852">
          <cell r="A3852" t="str">
            <v xml:space="preserve"> </v>
          </cell>
        </row>
        <row r="3853">
          <cell r="A3853" t="str">
            <v xml:space="preserve"> </v>
          </cell>
        </row>
        <row r="3854">
          <cell r="A3854" t="str">
            <v xml:space="preserve"> </v>
          </cell>
        </row>
        <row r="3855">
          <cell r="A3855" t="str">
            <v xml:space="preserve"> </v>
          </cell>
        </row>
        <row r="3856">
          <cell r="A3856" t="str">
            <v xml:space="preserve"> </v>
          </cell>
        </row>
        <row r="3857">
          <cell r="A3857" t="str">
            <v xml:space="preserve"> </v>
          </cell>
        </row>
        <row r="3858">
          <cell r="A3858" t="str">
            <v xml:space="preserve"> </v>
          </cell>
        </row>
        <row r="3859">
          <cell r="A3859" t="str">
            <v xml:space="preserve"> </v>
          </cell>
        </row>
        <row r="3860">
          <cell r="A3860" t="str">
            <v xml:space="preserve"> </v>
          </cell>
        </row>
        <row r="3861">
          <cell r="A3861" t="str">
            <v xml:space="preserve"> </v>
          </cell>
        </row>
        <row r="3862">
          <cell r="A3862" t="str">
            <v xml:space="preserve"> </v>
          </cell>
        </row>
        <row r="3863">
          <cell r="A3863" t="str">
            <v xml:space="preserve"> </v>
          </cell>
        </row>
        <row r="3864">
          <cell r="A3864" t="str">
            <v xml:space="preserve"> </v>
          </cell>
        </row>
        <row r="3865">
          <cell r="A3865" t="str">
            <v xml:space="preserve"> </v>
          </cell>
        </row>
        <row r="3866">
          <cell r="A3866" t="str">
            <v xml:space="preserve"> </v>
          </cell>
        </row>
        <row r="3867">
          <cell r="A3867" t="str">
            <v xml:space="preserve"> </v>
          </cell>
        </row>
        <row r="3868">
          <cell r="A3868" t="str">
            <v xml:space="preserve"> </v>
          </cell>
        </row>
        <row r="3869">
          <cell r="A3869" t="str">
            <v xml:space="preserve"> </v>
          </cell>
        </row>
        <row r="3870">
          <cell r="A3870" t="str">
            <v xml:space="preserve"> </v>
          </cell>
        </row>
        <row r="3871">
          <cell r="A3871" t="str">
            <v xml:space="preserve"> </v>
          </cell>
        </row>
        <row r="3872">
          <cell r="A3872" t="str">
            <v xml:space="preserve"> </v>
          </cell>
        </row>
        <row r="3873">
          <cell r="A3873" t="str">
            <v xml:space="preserve"> </v>
          </cell>
        </row>
        <row r="3874">
          <cell r="A3874" t="str">
            <v xml:space="preserve"> </v>
          </cell>
        </row>
        <row r="3875">
          <cell r="A3875" t="str">
            <v xml:space="preserve"> </v>
          </cell>
        </row>
        <row r="3876">
          <cell r="A3876" t="str">
            <v xml:space="preserve"> </v>
          </cell>
        </row>
        <row r="3877">
          <cell r="A3877" t="str">
            <v xml:space="preserve"> </v>
          </cell>
        </row>
        <row r="3878">
          <cell r="A3878" t="str">
            <v xml:space="preserve"> </v>
          </cell>
        </row>
        <row r="3879">
          <cell r="A3879" t="str">
            <v xml:space="preserve"> </v>
          </cell>
        </row>
        <row r="3880">
          <cell r="A3880" t="str">
            <v xml:space="preserve"> </v>
          </cell>
        </row>
        <row r="3881">
          <cell r="A3881" t="str">
            <v xml:space="preserve"> </v>
          </cell>
        </row>
        <row r="3882">
          <cell r="A3882" t="str">
            <v xml:space="preserve"> </v>
          </cell>
        </row>
        <row r="3883">
          <cell r="A3883" t="str">
            <v xml:space="preserve"> </v>
          </cell>
        </row>
        <row r="3884">
          <cell r="A3884" t="str">
            <v xml:space="preserve"> </v>
          </cell>
        </row>
        <row r="3885">
          <cell r="A3885" t="str">
            <v xml:space="preserve"> </v>
          </cell>
        </row>
        <row r="3886">
          <cell r="A3886" t="str">
            <v xml:space="preserve"> </v>
          </cell>
        </row>
        <row r="3887">
          <cell r="A3887" t="str">
            <v xml:space="preserve"> </v>
          </cell>
        </row>
        <row r="3888">
          <cell r="A3888" t="str">
            <v xml:space="preserve"> </v>
          </cell>
        </row>
        <row r="3889">
          <cell r="A3889" t="str">
            <v xml:space="preserve"> </v>
          </cell>
        </row>
        <row r="3890">
          <cell r="A3890" t="str">
            <v xml:space="preserve"> </v>
          </cell>
        </row>
        <row r="3891">
          <cell r="A3891" t="str">
            <v xml:space="preserve"> </v>
          </cell>
        </row>
        <row r="3892">
          <cell r="A3892" t="str">
            <v xml:space="preserve"> </v>
          </cell>
        </row>
        <row r="3893">
          <cell r="A3893" t="str">
            <v xml:space="preserve"> </v>
          </cell>
        </row>
        <row r="3894">
          <cell r="A3894" t="str">
            <v xml:space="preserve"> </v>
          </cell>
        </row>
        <row r="3895">
          <cell r="A3895" t="str">
            <v xml:space="preserve"> </v>
          </cell>
        </row>
        <row r="3896">
          <cell r="A3896" t="str">
            <v xml:space="preserve"> </v>
          </cell>
        </row>
        <row r="3897">
          <cell r="A3897" t="str">
            <v xml:space="preserve"> </v>
          </cell>
        </row>
        <row r="3898">
          <cell r="A3898" t="str">
            <v xml:space="preserve"> </v>
          </cell>
        </row>
        <row r="3899">
          <cell r="A3899" t="str">
            <v xml:space="preserve"> </v>
          </cell>
        </row>
        <row r="3900">
          <cell r="A3900" t="str">
            <v xml:space="preserve"> </v>
          </cell>
        </row>
        <row r="3901">
          <cell r="A3901" t="str">
            <v xml:space="preserve"> </v>
          </cell>
        </row>
        <row r="3902">
          <cell r="A3902" t="str">
            <v xml:space="preserve"> </v>
          </cell>
        </row>
        <row r="3903">
          <cell r="A3903" t="str">
            <v xml:space="preserve"> </v>
          </cell>
        </row>
        <row r="3904">
          <cell r="A3904" t="str">
            <v xml:space="preserve"> </v>
          </cell>
        </row>
        <row r="3905">
          <cell r="A3905" t="str">
            <v xml:space="preserve"> </v>
          </cell>
        </row>
        <row r="3906">
          <cell r="A3906" t="str">
            <v xml:space="preserve"> </v>
          </cell>
        </row>
        <row r="3907">
          <cell r="A3907" t="str">
            <v xml:space="preserve"> </v>
          </cell>
        </row>
        <row r="3908">
          <cell r="A3908" t="str">
            <v xml:space="preserve"> </v>
          </cell>
        </row>
        <row r="3909">
          <cell r="A3909" t="str">
            <v xml:space="preserve"> </v>
          </cell>
        </row>
        <row r="3910">
          <cell r="A3910" t="str">
            <v xml:space="preserve"> </v>
          </cell>
        </row>
        <row r="3911">
          <cell r="A3911" t="str">
            <v xml:space="preserve"> </v>
          </cell>
        </row>
        <row r="3912">
          <cell r="A3912" t="str">
            <v xml:space="preserve"> </v>
          </cell>
        </row>
        <row r="3913">
          <cell r="A3913" t="str">
            <v xml:space="preserve"> </v>
          </cell>
        </row>
        <row r="3914">
          <cell r="A3914" t="str">
            <v xml:space="preserve"> </v>
          </cell>
        </row>
        <row r="3915">
          <cell r="A3915" t="str">
            <v xml:space="preserve"> </v>
          </cell>
        </row>
        <row r="3916">
          <cell r="A3916" t="str">
            <v xml:space="preserve"> </v>
          </cell>
        </row>
        <row r="3917">
          <cell r="A3917" t="str">
            <v xml:space="preserve"> </v>
          </cell>
        </row>
        <row r="3918">
          <cell r="A3918" t="str">
            <v xml:space="preserve"> </v>
          </cell>
        </row>
        <row r="3919">
          <cell r="A3919" t="str">
            <v xml:space="preserve"> </v>
          </cell>
        </row>
        <row r="3920">
          <cell r="A3920" t="str">
            <v xml:space="preserve"> </v>
          </cell>
        </row>
        <row r="3921">
          <cell r="A3921" t="str">
            <v xml:space="preserve"> </v>
          </cell>
        </row>
        <row r="3922">
          <cell r="A3922" t="str">
            <v xml:space="preserve"> </v>
          </cell>
        </row>
        <row r="3923">
          <cell r="A3923" t="str">
            <v xml:space="preserve"> </v>
          </cell>
        </row>
        <row r="3924">
          <cell r="A3924" t="str">
            <v xml:space="preserve"> </v>
          </cell>
        </row>
        <row r="3925">
          <cell r="A3925" t="str">
            <v xml:space="preserve"> </v>
          </cell>
        </row>
        <row r="3926">
          <cell r="A3926" t="str">
            <v xml:space="preserve"> </v>
          </cell>
        </row>
        <row r="3927">
          <cell r="A3927" t="str">
            <v xml:space="preserve"> </v>
          </cell>
        </row>
        <row r="3928">
          <cell r="A3928" t="str">
            <v xml:space="preserve"> </v>
          </cell>
        </row>
        <row r="3929">
          <cell r="A3929" t="str">
            <v xml:space="preserve"> </v>
          </cell>
        </row>
        <row r="3930">
          <cell r="A3930" t="str">
            <v xml:space="preserve"> </v>
          </cell>
        </row>
        <row r="3931">
          <cell r="A3931" t="str">
            <v xml:space="preserve"> </v>
          </cell>
        </row>
        <row r="3932">
          <cell r="A3932" t="str">
            <v xml:space="preserve"> </v>
          </cell>
        </row>
        <row r="3933">
          <cell r="A3933" t="str">
            <v xml:space="preserve"> </v>
          </cell>
        </row>
        <row r="3934">
          <cell r="A3934" t="str">
            <v xml:space="preserve"> </v>
          </cell>
        </row>
        <row r="3935">
          <cell r="A3935" t="str">
            <v xml:space="preserve"> </v>
          </cell>
        </row>
        <row r="3936">
          <cell r="A3936" t="str">
            <v xml:space="preserve"> </v>
          </cell>
        </row>
        <row r="3937">
          <cell r="A3937" t="str">
            <v xml:space="preserve"> </v>
          </cell>
        </row>
        <row r="3938">
          <cell r="A3938" t="str">
            <v xml:space="preserve"> </v>
          </cell>
        </row>
        <row r="3939">
          <cell r="A3939" t="str">
            <v xml:space="preserve"> </v>
          </cell>
        </row>
        <row r="3940">
          <cell r="A3940" t="str">
            <v xml:space="preserve"> </v>
          </cell>
        </row>
        <row r="3941">
          <cell r="A3941" t="str">
            <v xml:space="preserve"> </v>
          </cell>
        </row>
        <row r="3942">
          <cell r="A3942" t="str">
            <v xml:space="preserve"> </v>
          </cell>
        </row>
        <row r="3943">
          <cell r="A3943" t="str">
            <v xml:space="preserve"> </v>
          </cell>
        </row>
        <row r="3944">
          <cell r="A3944" t="str">
            <v xml:space="preserve"> </v>
          </cell>
        </row>
        <row r="3945">
          <cell r="A3945" t="str">
            <v xml:space="preserve"> </v>
          </cell>
        </row>
        <row r="3946">
          <cell r="A3946" t="str">
            <v xml:space="preserve"> </v>
          </cell>
        </row>
        <row r="3947">
          <cell r="A3947" t="str">
            <v xml:space="preserve"> </v>
          </cell>
        </row>
        <row r="3948">
          <cell r="A3948" t="str">
            <v xml:space="preserve"> </v>
          </cell>
        </row>
        <row r="3949">
          <cell r="A3949" t="str">
            <v xml:space="preserve"> </v>
          </cell>
        </row>
        <row r="3950">
          <cell r="A3950" t="str">
            <v xml:space="preserve"> </v>
          </cell>
        </row>
        <row r="3951">
          <cell r="A3951" t="str">
            <v xml:space="preserve"> </v>
          </cell>
        </row>
        <row r="3952">
          <cell r="A3952" t="str">
            <v xml:space="preserve"> </v>
          </cell>
        </row>
        <row r="3953">
          <cell r="A3953" t="str">
            <v xml:space="preserve"> </v>
          </cell>
        </row>
        <row r="3954">
          <cell r="A3954" t="str">
            <v xml:space="preserve"> </v>
          </cell>
        </row>
        <row r="3955">
          <cell r="A3955" t="str">
            <v xml:space="preserve"> </v>
          </cell>
        </row>
        <row r="3956">
          <cell r="A3956" t="str">
            <v xml:space="preserve"> </v>
          </cell>
        </row>
        <row r="3957">
          <cell r="A3957" t="str">
            <v xml:space="preserve"> </v>
          </cell>
        </row>
        <row r="3958">
          <cell r="A3958" t="str">
            <v xml:space="preserve"> </v>
          </cell>
        </row>
        <row r="3959">
          <cell r="A3959" t="str">
            <v xml:space="preserve"> </v>
          </cell>
        </row>
        <row r="3960">
          <cell r="A3960" t="str">
            <v xml:space="preserve"> </v>
          </cell>
        </row>
        <row r="3961">
          <cell r="A3961" t="str">
            <v xml:space="preserve"> </v>
          </cell>
        </row>
        <row r="3962">
          <cell r="A3962" t="str">
            <v xml:space="preserve"> </v>
          </cell>
        </row>
        <row r="3963">
          <cell r="A3963" t="str">
            <v xml:space="preserve"> </v>
          </cell>
        </row>
        <row r="3964">
          <cell r="A3964" t="str">
            <v xml:space="preserve"> </v>
          </cell>
        </row>
        <row r="3965">
          <cell r="A3965" t="str">
            <v xml:space="preserve"> </v>
          </cell>
        </row>
        <row r="3966">
          <cell r="A3966" t="str">
            <v xml:space="preserve"> </v>
          </cell>
        </row>
        <row r="3967">
          <cell r="A3967" t="str">
            <v xml:space="preserve"> </v>
          </cell>
        </row>
        <row r="3968">
          <cell r="A3968" t="str">
            <v xml:space="preserve"> </v>
          </cell>
        </row>
        <row r="3969">
          <cell r="A3969" t="str">
            <v xml:space="preserve"> </v>
          </cell>
        </row>
        <row r="3970">
          <cell r="A3970" t="str">
            <v xml:space="preserve"> </v>
          </cell>
        </row>
        <row r="3971">
          <cell r="A3971" t="str">
            <v xml:space="preserve"> </v>
          </cell>
        </row>
        <row r="3972">
          <cell r="A3972" t="str">
            <v xml:space="preserve"> </v>
          </cell>
        </row>
        <row r="3973">
          <cell r="A3973" t="str">
            <v xml:space="preserve"> </v>
          </cell>
        </row>
        <row r="3974">
          <cell r="A3974" t="str">
            <v xml:space="preserve"> </v>
          </cell>
        </row>
        <row r="3975">
          <cell r="A3975" t="str">
            <v xml:space="preserve"> </v>
          </cell>
        </row>
        <row r="3976">
          <cell r="A3976" t="str">
            <v xml:space="preserve"> </v>
          </cell>
        </row>
        <row r="3977">
          <cell r="A3977" t="str">
            <v xml:space="preserve"> </v>
          </cell>
        </row>
        <row r="3978">
          <cell r="A3978" t="str">
            <v xml:space="preserve"> </v>
          </cell>
        </row>
        <row r="3979">
          <cell r="A3979" t="str">
            <v xml:space="preserve"> </v>
          </cell>
        </row>
        <row r="3980">
          <cell r="A3980" t="str">
            <v xml:space="preserve"> </v>
          </cell>
        </row>
        <row r="3981">
          <cell r="A3981" t="str">
            <v xml:space="preserve"> </v>
          </cell>
        </row>
        <row r="3982">
          <cell r="A3982" t="str">
            <v xml:space="preserve"> </v>
          </cell>
        </row>
        <row r="3983">
          <cell r="A3983" t="str">
            <v xml:space="preserve"> </v>
          </cell>
        </row>
        <row r="3984">
          <cell r="A3984" t="str">
            <v xml:space="preserve"> </v>
          </cell>
        </row>
        <row r="3985">
          <cell r="A3985" t="str">
            <v xml:space="preserve"> </v>
          </cell>
        </row>
        <row r="3986">
          <cell r="A3986" t="str">
            <v xml:space="preserve"> </v>
          </cell>
        </row>
        <row r="3987">
          <cell r="A3987" t="str">
            <v xml:space="preserve"> </v>
          </cell>
        </row>
        <row r="3988">
          <cell r="A3988" t="str">
            <v xml:space="preserve"> </v>
          </cell>
        </row>
        <row r="3989">
          <cell r="A3989" t="str">
            <v xml:space="preserve"> </v>
          </cell>
        </row>
        <row r="3990">
          <cell r="A3990" t="str">
            <v xml:space="preserve"> </v>
          </cell>
        </row>
        <row r="3991">
          <cell r="A3991" t="str">
            <v xml:space="preserve"> </v>
          </cell>
        </row>
        <row r="3992">
          <cell r="A3992" t="str">
            <v xml:space="preserve"> </v>
          </cell>
        </row>
        <row r="3993">
          <cell r="A3993" t="str">
            <v xml:space="preserve"> </v>
          </cell>
        </row>
        <row r="3994">
          <cell r="A3994" t="str">
            <v xml:space="preserve"> </v>
          </cell>
        </row>
        <row r="3995">
          <cell r="A3995" t="str">
            <v xml:space="preserve"> </v>
          </cell>
        </row>
        <row r="3996">
          <cell r="A3996" t="str">
            <v xml:space="preserve"> </v>
          </cell>
        </row>
        <row r="3997">
          <cell r="A3997" t="str">
            <v xml:space="preserve"> </v>
          </cell>
        </row>
        <row r="3998">
          <cell r="A3998" t="str">
            <v xml:space="preserve"> </v>
          </cell>
        </row>
        <row r="3999">
          <cell r="A3999" t="str">
            <v xml:space="preserve"> </v>
          </cell>
        </row>
        <row r="4000">
          <cell r="A4000" t="str">
            <v xml:space="preserve"> </v>
          </cell>
        </row>
        <row r="4001">
          <cell r="A4001" t="str">
            <v xml:space="preserve"> </v>
          </cell>
        </row>
        <row r="4002">
          <cell r="A4002" t="str">
            <v xml:space="preserve"> </v>
          </cell>
        </row>
        <row r="4003">
          <cell r="A4003" t="str">
            <v xml:space="preserve"> </v>
          </cell>
        </row>
        <row r="4004">
          <cell r="A4004" t="str">
            <v xml:space="preserve"> </v>
          </cell>
        </row>
        <row r="4005">
          <cell r="A4005" t="str">
            <v xml:space="preserve"> </v>
          </cell>
        </row>
        <row r="4006">
          <cell r="A4006" t="str">
            <v xml:space="preserve"> </v>
          </cell>
        </row>
        <row r="4007">
          <cell r="A4007" t="str">
            <v xml:space="preserve"> </v>
          </cell>
        </row>
        <row r="4008">
          <cell r="A4008" t="str">
            <v xml:space="preserve"> </v>
          </cell>
        </row>
        <row r="4009">
          <cell r="A4009" t="str">
            <v xml:space="preserve"> </v>
          </cell>
        </row>
        <row r="4010">
          <cell r="A4010" t="str">
            <v xml:space="preserve"> </v>
          </cell>
        </row>
        <row r="4011">
          <cell r="A4011" t="str">
            <v xml:space="preserve"> </v>
          </cell>
        </row>
        <row r="4012">
          <cell r="A4012" t="str">
            <v xml:space="preserve"> </v>
          </cell>
        </row>
        <row r="4013">
          <cell r="A4013" t="str">
            <v xml:space="preserve"> </v>
          </cell>
        </row>
        <row r="4014">
          <cell r="A4014" t="str">
            <v xml:space="preserve"> </v>
          </cell>
        </row>
        <row r="4015">
          <cell r="A4015" t="str">
            <v xml:space="preserve"> </v>
          </cell>
        </row>
        <row r="4016">
          <cell r="A4016" t="str">
            <v xml:space="preserve"> </v>
          </cell>
        </row>
        <row r="4017">
          <cell r="A4017" t="str">
            <v xml:space="preserve"> </v>
          </cell>
        </row>
        <row r="4018">
          <cell r="A4018" t="str">
            <v xml:space="preserve"> </v>
          </cell>
        </row>
        <row r="4019">
          <cell r="A4019" t="str">
            <v xml:space="preserve"> </v>
          </cell>
        </row>
        <row r="4020">
          <cell r="A4020" t="str">
            <v xml:space="preserve"> </v>
          </cell>
        </row>
        <row r="4021">
          <cell r="A4021" t="str">
            <v xml:space="preserve"> </v>
          </cell>
        </row>
        <row r="4022">
          <cell r="A4022" t="str">
            <v xml:space="preserve"> </v>
          </cell>
        </row>
        <row r="4023">
          <cell r="A4023" t="str">
            <v xml:space="preserve"> </v>
          </cell>
        </row>
        <row r="4024">
          <cell r="A4024" t="str">
            <v xml:space="preserve"> </v>
          </cell>
        </row>
        <row r="4025">
          <cell r="A4025" t="str">
            <v xml:space="preserve"> </v>
          </cell>
        </row>
        <row r="4026">
          <cell r="A4026" t="str">
            <v xml:space="preserve"> </v>
          </cell>
        </row>
        <row r="4027">
          <cell r="A4027" t="str">
            <v xml:space="preserve"> </v>
          </cell>
        </row>
        <row r="4028">
          <cell r="A4028" t="str">
            <v xml:space="preserve"> </v>
          </cell>
        </row>
        <row r="4029">
          <cell r="A4029" t="str">
            <v xml:space="preserve"> </v>
          </cell>
        </row>
        <row r="4030">
          <cell r="A4030" t="str">
            <v xml:space="preserve"> </v>
          </cell>
        </row>
        <row r="4031">
          <cell r="A4031" t="str">
            <v xml:space="preserve"> </v>
          </cell>
        </row>
        <row r="4032">
          <cell r="A4032" t="str">
            <v xml:space="preserve"> </v>
          </cell>
        </row>
        <row r="4033">
          <cell r="A4033" t="str">
            <v xml:space="preserve"> </v>
          </cell>
        </row>
        <row r="4034">
          <cell r="A4034" t="str">
            <v xml:space="preserve"> </v>
          </cell>
        </row>
        <row r="4035">
          <cell r="A4035" t="str">
            <v xml:space="preserve"> </v>
          </cell>
        </row>
        <row r="4036">
          <cell r="A4036" t="str">
            <v xml:space="preserve"> </v>
          </cell>
        </row>
        <row r="4037">
          <cell r="A4037" t="str">
            <v xml:space="preserve"> </v>
          </cell>
        </row>
        <row r="4038">
          <cell r="A4038" t="str">
            <v xml:space="preserve"> </v>
          </cell>
        </row>
        <row r="4039">
          <cell r="A4039" t="str">
            <v xml:space="preserve"> </v>
          </cell>
        </row>
        <row r="4040">
          <cell r="A4040" t="str">
            <v xml:space="preserve"> </v>
          </cell>
        </row>
        <row r="4041">
          <cell r="A4041" t="str">
            <v xml:space="preserve"> </v>
          </cell>
        </row>
        <row r="4042">
          <cell r="A4042" t="str">
            <v xml:space="preserve"> </v>
          </cell>
        </row>
        <row r="4043">
          <cell r="A4043" t="str">
            <v xml:space="preserve"> </v>
          </cell>
        </row>
        <row r="4044">
          <cell r="A4044" t="str">
            <v xml:space="preserve"> </v>
          </cell>
        </row>
        <row r="4045">
          <cell r="A4045" t="str">
            <v xml:space="preserve"> </v>
          </cell>
        </row>
        <row r="4046">
          <cell r="A4046" t="str">
            <v xml:space="preserve"> </v>
          </cell>
        </row>
        <row r="4047">
          <cell r="A4047" t="str">
            <v xml:space="preserve"> </v>
          </cell>
        </row>
        <row r="4048">
          <cell r="A4048" t="str">
            <v xml:space="preserve"> </v>
          </cell>
        </row>
        <row r="4049">
          <cell r="A4049" t="str">
            <v xml:space="preserve"> </v>
          </cell>
        </row>
        <row r="4050">
          <cell r="A4050" t="str">
            <v xml:space="preserve"> </v>
          </cell>
        </row>
        <row r="4051">
          <cell r="A4051" t="str">
            <v xml:space="preserve"> </v>
          </cell>
        </row>
        <row r="4052">
          <cell r="A4052" t="str">
            <v xml:space="preserve"> </v>
          </cell>
        </row>
        <row r="4053">
          <cell r="A4053" t="str">
            <v xml:space="preserve"> </v>
          </cell>
        </row>
        <row r="4054">
          <cell r="A4054" t="str">
            <v xml:space="preserve"> </v>
          </cell>
        </row>
        <row r="4055">
          <cell r="A4055" t="str">
            <v xml:space="preserve"> </v>
          </cell>
        </row>
        <row r="4056">
          <cell r="A4056" t="str">
            <v xml:space="preserve"> </v>
          </cell>
        </row>
        <row r="4057">
          <cell r="A4057" t="str">
            <v xml:space="preserve"> </v>
          </cell>
        </row>
        <row r="4058">
          <cell r="A4058" t="str">
            <v xml:space="preserve"> </v>
          </cell>
        </row>
        <row r="4059">
          <cell r="A4059" t="str">
            <v xml:space="preserve"> </v>
          </cell>
        </row>
        <row r="4060">
          <cell r="A4060" t="str">
            <v xml:space="preserve"> </v>
          </cell>
        </row>
        <row r="4061">
          <cell r="A4061" t="str">
            <v xml:space="preserve"> </v>
          </cell>
        </row>
        <row r="4062">
          <cell r="A4062" t="str">
            <v xml:space="preserve"> </v>
          </cell>
        </row>
        <row r="4063">
          <cell r="A4063" t="str">
            <v xml:space="preserve"> </v>
          </cell>
        </row>
        <row r="4064">
          <cell r="A4064" t="str">
            <v xml:space="preserve"> </v>
          </cell>
        </row>
        <row r="4065">
          <cell r="A4065" t="str">
            <v xml:space="preserve"> </v>
          </cell>
        </row>
        <row r="4066">
          <cell r="A4066" t="str">
            <v xml:space="preserve"> </v>
          </cell>
        </row>
        <row r="4067">
          <cell r="A4067" t="str">
            <v xml:space="preserve"> </v>
          </cell>
        </row>
        <row r="4068">
          <cell r="A4068" t="str">
            <v xml:space="preserve"> </v>
          </cell>
        </row>
        <row r="4069">
          <cell r="A4069" t="str">
            <v xml:space="preserve"> </v>
          </cell>
        </row>
        <row r="4070">
          <cell r="A4070" t="str">
            <v xml:space="preserve"> </v>
          </cell>
        </row>
        <row r="4071">
          <cell r="A4071" t="str">
            <v xml:space="preserve"> </v>
          </cell>
        </row>
        <row r="4072">
          <cell r="A4072" t="str">
            <v xml:space="preserve"> </v>
          </cell>
        </row>
        <row r="4073">
          <cell r="A4073" t="str">
            <v xml:space="preserve"> </v>
          </cell>
        </row>
        <row r="4074">
          <cell r="A4074" t="str">
            <v xml:space="preserve"> </v>
          </cell>
        </row>
        <row r="4075">
          <cell r="A4075" t="str">
            <v xml:space="preserve"> </v>
          </cell>
        </row>
        <row r="4076">
          <cell r="A4076" t="str">
            <v xml:space="preserve"> </v>
          </cell>
        </row>
        <row r="4077">
          <cell r="A4077" t="str">
            <v xml:space="preserve"> </v>
          </cell>
        </row>
        <row r="4078">
          <cell r="A4078" t="str">
            <v xml:space="preserve"> </v>
          </cell>
        </row>
        <row r="4079">
          <cell r="A4079" t="str">
            <v xml:space="preserve"> </v>
          </cell>
        </row>
        <row r="4080">
          <cell r="A4080" t="str">
            <v xml:space="preserve"> </v>
          </cell>
        </row>
        <row r="4081">
          <cell r="A4081" t="str">
            <v xml:space="preserve"> </v>
          </cell>
        </row>
        <row r="4082">
          <cell r="A4082" t="str">
            <v xml:space="preserve"> </v>
          </cell>
        </row>
        <row r="4083">
          <cell r="A4083" t="str">
            <v xml:space="preserve"> </v>
          </cell>
        </row>
        <row r="4084">
          <cell r="A4084" t="str">
            <v xml:space="preserve"> </v>
          </cell>
        </row>
        <row r="4085">
          <cell r="A4085" t="str">
            <v xml:space="preserve"> </v>
          </cell>
        </row>
        <row r="4086">
          <cell r="A4086" t="str">
            <v xml:space="preserve"> </v>
          </cell>
        </row>
        <row r="4087">
          <cell r="A4087" t="str">
            <v xml:space="preserve"> </v>
          </cell>
        </row>
        <row r="4088">
          <cell r="A4088" t="str">
            <v xml:space="preserve"> </v>
          </cell>
        </row>
        <row r="4089">
          <cell r="A4089" t="str">
            <v xml:space="preserve"> </v>
          </cell>
        </row>
        <row r="4090">
          <cell r="A4090" t="str">
            <v xml:space="preserve"> </v>
          </cell>
        </row>
        <row r="4091">
          <cell r="A4091" t="str">
            <v xml:space="preserve"> </v>
          </cell>
        </row>
        <row r="4092">
          <cell r="A4092" t="str">
            <v xml:space="preserve"> </v>
          </cell>
        </row>
        <row r="4093">
          <cell r="A4093" t="str">
            <v xml:space="preserve"> </v>
          </cell>
        </row>
        <row r="4094">
          <cell r="A4094" t="str">
            <v xml:space="preserve"> </v>
          </cell>
        </row>
        <row r="4095">
          <cell r="A4095" t="str">
            <v xml:space="preserve"> </v>
          </cell>
        </row>
        <row r="4096">
          <cell r="A4096" t="str">
            <v xml:space="preserve"> </v>
          </cell>
        </row>
        <row r="4097">
          <cell r="A4097" t="str">
            <v xml:space="preserve"> </v>
          </cell>
        </row>
        <row r="4098">
          <cell r="A4098" t="str">
            <v xml:space="preserve"> </v>
          </cell>
        </row>
        <row r="4099">
          <cell r="A4099" t="str">
            <v xml:space="preserve"> </v>
          </cell>
        </row>
        <row r="4100">
          <cell r="A4100" t="str">
            <v xml:space="preserve"> </v>
          </cell>
        </row>
        <row r="4101">
          <cell r="A4101" t="str">
            <v xml:space="preserve"> </v>
          </cell>
        </row>
        <row r="4102">
          <cell r="A4102" t="str">
            <v xml:space="preserve"> </v>
          </cell>
        </row>
        <row r="4103">
          <cell r="A4103" t="str">
            <v xml:space="preserve"> </v>
          </cell>
        </row>
        <row r="4104">
          <cell r="A4104" t="str">
            <v xml:space="preserve"> </v>
          </cell>
        </row>
        <row r="4105">
          <cell r="A4105" t="str">
            <v xml:space="preserve"> </v>
          </cell>
        </row>
        <row r="4106">
          <cell r="A4106" t="str">
            <v xml:space="preserve"> </v>
          </cell>
        </row>
        <row r="4107">
          <cell r="A4107" t="str">
            <v xml:space="preserve"> </v>
          </cell>
        </row>
        <row r="4108">
          <cell r="A4108" t="str">
            <v xml:space="preserve"> </v>
          </cell>
        </row>
        <row r="4109">
          <cell r="A4109" t="str">
            <v xml:space="preserve"> </v>
          </cell>
        </row>
        <row r="4110">
          <cell r="A4110" t="str">
            <v xml:space="preserve"> </v>
          </cell>
        </row>
        <row r="4111">
          <cell r="A4111" t="str">
            <v xml:space="preserve"> </v>
          </cell>
        </row>
        <row r="4112">
          <cell r="A4112" t="str">
            <v xml:space="preserve"> </v>
          </cell>
        </row>
        <row r="4113">
          <cell r="A4113" t="str">
            <v xml:space="preserve"> </v>
          </cell>
        </row>
        <row r="4114">
          <cell r="A4114" t="str">
            <v xml:space="preserve"> </v>
          </cell>
        </row>
        <row r="4115">
          <cell r="A4115" t="str">
            <v xml:space="preserve"> </v>
          </cell>
        </row>
        <row r="4116">
          <cell r="A4116" t="str">
            <v xml:space="preserve"> </v>
          </cell>
        </row>
        <row r="4117">
          <cell r="A4117" t="str">
            <v xml:space="preserve"> </v>
          </cell>
        </row>
        <row r="4118">
          <cell r="A4118" t="str">
            <v xml:space="preserve"> </v>
          </cell>
        </row>
        <row r="4119">
          <cell r="A4119" t="str">
            <v xml:space="preserve"> </v>
          </cell>
        </row>
        <row r="4120">
          <cell r="A4120" t="str">
            <v xml:space="preserve"> </v>
          </cell>
        </row>
        <row r="4121">
          <cell r="A4121" t="str">
            <v xml:space="preserve"> </v>
          </cell>
        </row>
        <row r="4122">
          <cell r="A4122" t="str">
            <v xml:space="preserve"> </v>
          </cell>
        </row>
        <row r="4123">
          <cell r="A4123" t="str">
            <v xml:space="preserve"> </v>
          </cell>
        </row>
        <row r="4124">
          <cell r="A4124" t="str">
            <v xml:space="preserve"> </v>
          </cell>
        </row>
        <row r="4125">
          <cell r="A4125" t="str">
            <v xml:space="preserve"> </v>
          </cell>
        </row>
        <row r="4126">
          <cell r="A4126" t="str">
            <v xml:space="preserve"> </v>
          </cell>
        </row>
        <row r="4127">
          <cell r="A4127" t="str">
            <v xml:space="preserve"> </v>
          </cell>
        </row>
        <row r="4128">
          <cell r="A4128" t="str">
            <v xml:space="preserve"> </v>
          </cell>
        </row>
        <row r="4129">
          <cell r="A4129" t="str">
            <v xml:space="preserve"> </v>
          </cell>
        </row>
        <row r="4130">
          <cell r="A4130" t="str">
            <v xml:space="preserve"> </v>
          </cell>
        </row>
        <row r="4131">
          <cell r="A4131" t="str">
            <v xml:space="preserve"> </v>
          </cell>
        </row>
        <row r="4132">
          <cell r="A4132" t="str">
            <v xml:space="preserve"> </v>
          </cell>
        </row>
        <row r="4133">
          <cell r="A4133" t="str">
            <v xml:space="preserve"> </v>
          </cell>
        </row>
        <row r="4134">
          <cell r="A4134" t="str">
            <v xml:space="preserve"> </v>
          </cell>
        </row>
        <row r="4135">
          <cell r="A4135" t="str">
            <v xml:space="preserve"> </v>
          </cell>
        </row>
        <row r="4136">
          <cell r="A4136" t="str">
            <v xml:space="preserve"> </v>
          </cell>
        </row>
        <row r="4137">
          <cell r="A4137" t="str">
            <v xml:space="preserve"> </v>
          </cell>
        </row>
        <row r="4138">
          <cell r="A4138" t="str">
            <v xml:space="preserve"> </v>
          </cell>
        </row>
        <row r="4139">
          <cell r="A4139" t="str">
            <v xml:space="preserve"> </v>
          </cell>
        </row>
        <row r="4140">
          <cell r="A4140" t="str">
            <v xml:space="preserve"> </v>
          </cell>
        </row>
        <row r="4141">
          <cell r="A4141" t="str">
            <v xml:space="preserve"> </v>
          </cell>
        </row>
        <row r="4142">
          <cell r="A4142" t="str">
            <v xml:space="preserve"> 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TD"/>
      <sheetName val="Graphe_charges"/>
      <sheetName val="Sect_Aff"/>
      <sheetName val="EF_CDI"/>
      <sheetName val="SECTEUR"/>
      <sheetName val="Isoler Affaires"/>
      <sheetName val="Libellé Métier"/>
      <sheetName val="Organisation des données"/>
      <sheetName val="Présentation"/>
      <sheetName val="Présentation Adm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 t="str">
            <v>IMS EFA</v>
          </cell>
        </row>
        <row r="10">
          <cell r="C10" t="str">
            <v>NIMROD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S BoQ"/>
      <sheetName val="TSS Part List"/>
      <sheetName val="Crypto Price List"/>
      <sheetName val="Arnstadt Price List"/>
    </sheetNames>
    <sheetDataSet>
      <sheetData sheetId="0" refreshError="1"/>
      <sheetData sheetId="1">
        <row r="1">
          <cell r="A1" t="str">
            <v>Part Nr</v>
          </cell>
          <cell r="B1" t="str">
            <v>Part Name</v>
          </cell>
          <cell r="C1" t="str">
            <v>Subsystem</v>
          </cell>
          <cell r="D1" t="str">
            <v>Supplier</v>
          </cell>
          <cell r="E1" t="str">
            <v>Units</v>
          </cell>
          <cell r="F1" t="str">
            <v>Cost</v>
          </cell>
          <cell r="G1" t="str">
            <v>Source</v>
          </cell>
        </row>
        <row r="2">
          <cell r="A2" t="str">
            <v>3BS 21753 AA</v>
          </cell>
          <cell r="B2" t="str">
            <v>Modem LGM 1200MDE</v>
          </cell>
          <cell r="C2" t="str">
            <v>PLN</v>
          </cell>
          <cell r="D2" t="str">
            <v>Alcatel-Lucent</v>
          </cell>
          <cell r="E2">
            <v>65</v>
          </cell>
          <cell r="F2">
            <v>521</v>
          </cell>
          <cell r="G2" t="str">
            <v>Email: B. Fritzl (14.05.2009)</v>
          </cell>
        </row>
        <row r="3">
          <cell r="A3" t="str">
            <v>3BU 15110 0002</v>
          </cell>
          <cell r="B3" t="str">
            <v>Fan</v>
          </cell>
          <cell r="C3" t="str">
            <v>CEC</v>
          </cell>
          <cell r="D3" t="str">
            <v>Arnstadt</v>
          </cell>
          <cell r="E3">
            <v>17</v>
          </cell>
          <cell r="F3">
            <v>231.65</v>
          </cell>
        </row>
        <row r="4">
          <cell r="A4" t="str">
            <v>3BU 15585 AAAA</v>
          </cell>
          <cell r="B4" t="str">
            <v>D6-I/O-M, 1GB</v>
          </cell>
          <cell r="C4" t="str">
            <v>CEC</v>
          </cell>
          <cell r="D4" t="str">
            <v>Arnstadt</v>
          </cell>
          <cell r="E4">
            <v>26</v>
          </cell>
          <cell r="F4">
            <v>1361.16</v>
          </cell>
        </row>
        <row r="5">
          <cell r="A5" t="str">
            <v>3BU 15591 ACAA</v>
          </cell>
          <cell r="B5" t="str">
            <v>HDC4 V2-1 (D6)</v>
          </cell>
          <cell r="C5" t="str">
            <v>CEC</v>
          </cell>
          <cell r="D5" t="str">
            <v>Arnstadt</v>
          </cell>
          <cell r="E5">
            <v>17</v>
          </cell>
          <cell r="F5">
            <v>1480.8762999999999</v>
          </cell>
        </row>
        <row r="6">
          <cell r="A6" t="str">
            <v>3BU 80820 AAAA</v>
          </cell>
          <cell r="B6" t="str">
            <v>PICC w/o CEB</v>
          </cell>
          <cell r="C6" t="str">
            <v>BD</v>
          </cell>
          <cell r="D6" t="str">
            <v>Crypto</v>
          </cell>
          <cell r="E6">
            <v>0</v>
          </cell>
          <cell r="F6">
            <v>0</v>
          </cell>
        </row>
        <row r="7">
          <cell r="A7" t="str">
            <v>3BU 80821 AAAA</v>
          </cell>
          <cell r="B7" t="str">
            <v>PDU 230V AC (10TE)</v>
          </cell>
          <cell r="C7" t="str">
            <v>BD</v>
          </cell>
          <cell r="D7" t="str">
            <v>Crypto</v>
          </cell>
          <cell r="E7">
            <v>36</v>
          </cell>
          <cell r="F7">
            <v>269.43532979337982</v>
          </cell>
        </row>
        <row r="8">
          <cell r="A8" t="str">
            <v>3BU 80821 ABAA</v>
          </cell>
          <cell r="B8" t="str">
            <v>PDU 230V AC (8TE)</v>
          </cell>
          <cell r="C8" t="str">
            <v>BD</v>
          </cell>
          <cell r="D8" t="str">
            <v>Crypto</v>
          </cell>
          <cell r="E8">
            <v>0</v>
          </cell>
          <cell r="F8">
            <v>0</v>
          </cell>
        </row>
        <row r="9">
          <cell r="A9" t="str">
            <v>3BU 80821 ACAA</v>
          </cell>
          <cell r="B9" t="str">
            <v>PDU 110V AC (10TE)</v>
          </cell>
          <cell r="C9" t="str">
            <v>BD</v>
          </cell>
          <cell r="D9" t="str">
            <v>Crypto</v>
          </cell>
          <cell r="E9">
            <v>0</v>
          </cell>
          <cell r="F9">
            <v>0</v>
          </cell>
        </row>
        <row r="10">
          <cell r="A10" t="str">
            <v>3BU 80823 AAAA</v>
          </cell>
          <cell r="B10" t="str">
            <v>PICL w/o CEB</v>
          </cell>
          <cell r="C10" t="str">
            <v>BD</v>
          </cell>
          <cell r="D10" t="str">
            <v>Crypto</v>
          </cell>
          <cell r="E10">
            <v>0</v>
          </cell>
          <cell r="F10">
            <v>0</v>
          </cell>
        </row>
        <row r="11">
          <cell r="A11" t="str">
            <v>3BU 80827 ABAA</v>
          </cell>
          <cell r="B11" t="str">
            <v>PICCG2</v>
          </cell>
          <cell r="C11" t="str">
            <v>BD</v>
          </cell>
          <cell r="D11" t="str">
            <v>Crypto</v>
          </cell>
          <cell r="E11">
            <v>88</v>
          </cell>
          <cell r="F11">
            <v>531.70741574310364</v>
          </cell>
        </row>
        <row r="12">
          <cell r="A12" t="str">
            <v>3BU 80830 AAAA</v>
          </cell>
          <cell r="B12" t="str">
            <v>PIO (8TE)</v>
          </cell>
          <cell r="C12" t="str">
            <v>BD</v>
          </cell>
          <cell r="D12" t="str">
            <v>Crypto</v>
          </cell>
          <cell r="E12">
            <v>0</v>
          </cell>
          <cell r="F12">
            <v>0</v>
          </cell>
        </row>
        <row r="13">
          <cell r="A13" t="str">
            <v>3BU 80830 ABAA</v>
          </cell>
          <cell r="B13" t="str">
            <v>PIO (6TE)</v>
          </cell>
          <cell r="C13" t="str">
            <v>BD</v>
          </cell>
          <cell r="D13" t="str">
            <v>Crypto</v>
          </cell>
          <cell r="E13">
            <v>0</v>
          </cell>
          <cell r="F13">
            <v>0</v>
          </cell>
        </row>
        <row r="14">
          <cell r="A14" t="str">
            <v>3BU 80831 AAAA</v>
          </cell>
          <cell r="B14" t="str">
            <v>PICLG2</v>
          </cell>
          <cell r="C14" t="str">
            <v>BD</v>
          </cell>
          <cell r="D14" t="str">
            <v>Crypto</v>
          </cell>
          <cell r="E14">
            <v>0</v>
          </cell>
          <cell r="F14">
            <v>0</v>
          </cell>
        </row>
        <row r="15">
          <cell r="A15" t="str">
            <v>3BU 80832 AAAA</v>
          </cell>
          <cell r="B15" t="str">
            <v>BD/PLN Baugruppe ext. V1 (1 Modem / 3 BD)</v>
          </cell>
          <cell r="C15" t="str">
            <v>BD</v>
          </cell>
          <cell r="D15" t="str">
            <v>Arnstadt</v>
          </cell>
          <cell r="E15">
            <v>0</v>
          </cell>
          <cell r="F15">
            <v>1117.04</v>
          </cell>
          <cell r="G15" t="str">
            <v>Old price from Arnstadt 2009!!!</v>
          </cell>
        </row>
        <row r="16">
          <cell r="A16" t="str">
            <v>3BU 80833 AAAA</v>
          </cell>
          <cell r="B16" t="str">
            <v>CEC/BD/PLN Cabinet Type 1 (6 Modem / 3 BD)</v>
          </cell>
          <cell r="C16" t="str">
            <v>CEC</v>
          </cell>
          <cell r="D16" t="str">
            <v>Arnstadt</v>
          </cell>
          <cell r="E16">
            <v>0</v>
          </cell>
          <cell r="F16">
            <v>8959.7800000000007</v>
          </cell>
          <cell r="G16" t="str">
            <v>Old price from Arnstadt 2009!!!</v>
          </cell>
        </row>
        <row r="17">
          <cell r="A17" t="str">
            <v>3BU 80833 ABAA</v>
          </cell>
          <cell r="B17" t="str">
            <v>CEC/BD/PLN Cabinet Type 2 (6 BD)</v>
          </cell>
          <cell r="C17" t="str">
            <v>CEC</v>
          </cell>
          <cell r="D17" t="str">
            <v>Arnstadt</v>
          </cell>
          <cell r="E17">
            <v>0</v>
          </cell>
          <cell r="F17">
            <v>8091.82</v>
          </cell>
          <cell r="G17" t="str">
            <v>Old price from Arnstadt 2009!!!</v>
          </cell>
        </row>
        <row r="18">
          <cell r="A18" t="str">
            <v>3BU 80833 ACAA</v>
          </cell>
          <cell r="B18" t="str">
            <v>CEC/BD/PLN Cabinet Type 3 (6 Modem / 6 BD)</v>
          </cell>
          <cell r="C18" t="str">
            <v>CEC</v>
          </cell>
          <cell r="D18" t="str">
            <v>Arnstadt</v>
          </cell>
          <cell r="E18">
            <v>0</v>
          </cell>
          <cell r="F18">
            <v>9121.2999999999993</v>
          </cell>
          <cell r="G18" t="str">
            <v>Old price from Arnstadt 2009!!!</v>
          </cell>
        </row>
        <row r="19">
          <cell r="A19" t="str">
            <v>3BU 80833 ADAA</v>
          </cell>
          <cell r="B19" t="str">
            <v>CEC/BD/PLN Cabinet Type 4 (9 BD)</v>
          </cell>
          <cell r="C19" t="str">
            <v>CEC</v>
          </cell>
          <cell r="D19" t="str">
            <v>Arnstadt</v>
          </cell>
          <cell r="E19">
            <v>0</v>
          </cell>
          <cell r="F19">
            <v>9101.4699999999993</v>
          </cell>
          <cell r="G19" t="str">
            <v>Old price from Arnstadt 2009!!!</v>
          </cell>
        </row>
        <row r="20">
          <cell r="A20" t="str">
            <v>3BU 80833 AEAA</v>
          </cell>
          <cell r="B20" t="str">
            <v>CEC/BD/PLN Cabinet Type 5 (6 Modem / 9 BD)</v>
          </cell>
          <cell r="C20" t="str">
            <v>CEC</v>
          </cell>
          <cell r="D20" t="str">
            <v>Arnstadt</v>
          </cell>
          <cell r="E20">
            <v>0</v>
          </cell>
          <cell r="F20">
            <v>10087.26</v>
          </cell>
          <cell r="G20" t="str">
            <v>Old price from Arnstadt 2009!!!</v>
          </cell>
        </row>
        <row r="21">
          <cell r="A21" t="str">
            <v>3BU 80833 AFAA</v>
          </cell>
          <cell r="B21" t="str">
            <v>CEC/BD/PLN Cabinet Type 6 (12 BD)</v>
          </cell>
          <cell r="C21" t="str">
            <v>CEC</v>
          </cell>
          <cell r="D21" t="str">
            <v>Arnstadt</v>
          </cell>
          <cell r="E21">
            <v>0</v>
          </cell>
          <cell r="F21">
            <v>9218.43</v>
          </cell>
          <cell r="G21" t="str">
            <v>Old price from Arnstadt 2009!!!</v>
          </cell>
        </row>
        <row r="22">
          <cell r="A22" t="str">
            <v>3BU 80833 AGAA</v>
          </cell>
          <cell r="B22" t="str">
            <v>CEC/BD/PLN Cabinet Type 7 (6 Modem / 12 BD)</v>
          </cell>
          <cell r="C22" t="str">
            <v>CEC</v>
          </cell>
          <cell r="D22" t="str">
            <v>Arnstadt</v>
          </cell>
          <cell r="E22">
            <v>0</v>
          </cell>
          <cell r="F22">
            <v>10233.27</v>
          </cell>
          <cell r="G22" t="str">
            <v>Old price from Arnstadt 2009!!!</v>
          </cell>
        </row>
        <row r="23">
          <cell r="A23" t="str">
            <v>3BU 80833 AHAA</v>
          </cell>
          <cell r="B23" t="str">
            <v>CEC/BD/PLN Cabinet Type 8 (12 Modem / 9 BD)</v>
          </cell>
          <cell r="C23" t="str">
            <v>CEC</v>
          </cell>
          <cell r="D23" t="str">
            <v>Arnstadt</v>
          </cell>
          <cell r="E23">
            <v>0</v>
          </cell>
          <cell r="F23">
            <v>10351.969999999999</v>
          </cell>
          <cell r="G23" t="str">
            <v>Old price from Arnstadt 2009!!!</v>
          </cell>
        </row>
        <row r="24">
          <cell r="A24" t="str">
            <v>3BU 80833 AJAA</v>
          </cell>
          <cell r="B24" t="str">
            <v>CEC/BD/PLN Cabinet Type 9 (12 Modem / 12 BD)</v>
          </cell>
          <cell r="C24" t="str">
            <v>CEC</v>
          </cell>
          <cell r="D24" t="str">
            <v>Arnstadt</v>
          </cell>
          <cell r="E24">
            <v>0</v>
          </cell>
          <cell r="F24">
            <v>10478.049999999999</v>
          </cell>
          <cell r="G24" t="str">
            <v>Old price from Arnstadt 2009!!!</v>
          </cell>
        </row>
        <row r="25">
          <cell r="A25" t="str">
            <v>3BU 80838 AAAA</v>
          </cell>
          <cell r="B25" t="str">
            <v>LEU PV3.3 Shelf PAB / 230V</v>
          </cell>
          <cell r="C25" t="str">
            <v>BD</v>
          </cell>
          <cell r="D25" t="str">
            <v>Crypto</v>
          </cell>
          <cell r="E25">
            <v>0</v>
          </cell>
          <cell r="F25">
            <v>0</v>
          </cell>
        </row>
        <row r="26">
          <cell r="A26" t="str">
            <v>3BU 80839 AAAA</v>
          </cell>
          <cell r="B26" t="str">
            <v>PAB (10TE)</v>
          </cell>
          <cell r="C26" t="str">
            <v>BD</v>
          </cell>
          <cell r="D26" t="str">
            <v>Crypto</v>
          </cell>
          <cell r="E26">
            <v>0</v>
          </cell>
          <cell r="F26">
            <v>0</v>
          </cell>
        </row>
        <row r="27">
          <cell r="A27" t="str">
            <v>3BU 80839 ABAA</v>
          </cell>
          <cell r="B27" t="str">
            <v>PAB (6TE)</v>
          </cell>
          <cell r="C27" t="str">
            <v>BD</v>
          </cell>
          <cell r="D27" t="str">
            <v>Crypto</v>
          </cell>
          <cell r="E27">
            <v>0</v>
          </cell>
          <cell r="F27">
            <v>0</v>
          </cell>
        </row>
        <row r="28">
          <cell r="A28" t="str">
            <v>3BU 80839 ACAA</v>
          </cell>
          <cell r="B28" t="str">
            <v>PABL (10TE)</v>
          </cell>
          <cell r="C28" t="str">
            <v>BD</v>
          </cell>
          <cell r="D28" t="str">
            <v>Crypto</v>
          </cell>
          <cell r="E28">
            <v>0</v>
          </cell>
          <cell r="F28">
            <v>0</v>
          </cell>
        </row>
        <row r="29">
          <cell r="A29" t="str">
            <v>3BU 80841 AAAA</v>
          </cell>
          <cell r="B29" t="str">
            <v>PDU 48V DC (8TE)</v>
          </cell>
          <cell r="C29" t="str">
            <v>BD</v>
          </cell>
          <cell r="D29" t="str">
            <v>Crypto</v>
          </cell>
          <cell r="E29">
            <v>0</v>
          </cell>
          <cell r="F29">
            <v>0</v>
          </cell>
        </row>
        <row r="30">
          <cell r="A30" t="str">
            <v>3BU 80883 AAAA</v>
          </cell>
          <cell r="B30" t="str">
            <v>CEC/BD Cabinet Type D-30 (3 BD)</v>
          </cell>
          <cell r="C30" t="str">
            <v>CEC</v>
          </cell>
          <cell r="D30" t="str">
            <v>Arnstadt</v>
          </cell>
          <cell r="E30">
            <v>0</v>
          </cell>
          <cell r="F30">
            <v>17122.5</v>
          </cell>
          <cell r="G30" t="str">
            <v>Old price from Arnstadt 2009!!!</v>
          </cell>
        </row>
        <row r="31">
          <cell r="A31" t="str">
            <v>3BU 80883 ABAA</v>
          </cell>
          <cell r="B31" t="str">
            <v>CEC/BD Cabinet Type D-31 (6 BD)</v>
          </cell>
          <cell r="C31" t="str">
            <v>CEC</v>
          </cell>
          <cell r="D31" t="str">
            <v>Arnstadt</v>
          </cell>
          <cell r="E31">
            <v>0</v>
          </cell>
          <cell r="F31">
            <v>17252.45</v>
          </cell>
          <cell r="G31" t="str">
            <v>Old price from Arnstadt 2009!!!</v>
          </cell>
        </row>
        <row r="32">
          <cell r="A32" t="str">
            <v>3BU 80883 ACAA</v>
          </cell>
          <cell r="B32" t="str">
            <v>CEC/BD Cabinet Type D-32 (9 BD)</v>
          </cell>
          <cell r="C32" t="str">
            <v>CEC</v>
          </cell>
          <cell r="D32" t="str">
            <v>Arnstadt</v>
          </cell>
          <cell r="E32">
            <v>0</v>
          </cell>
          <cell r="F32">
            <v>17707.37</v>
          </cell>
          <cell r="G32" t="str">
            <v>Old price from Arnstadt 2009!!!</v>
          </cell>
        </row>
        <row r="33">
          <cell r="A33" t="str">
            <v>3BU 80883 ADAA</v>
          </cell>
          <cell r="B33" t="str">
            <v>CEC/BD Cabinet Type D-33 (12 BD)</v>
          </cell>
          <cell r="C33" t="str">
            <v>CEC</v>
          </cell>
          <cell r="D33" t="str">
            <v>Arnstadt</v>
          </cell>
          <cell r="E33">
            <v>0</v>
          </cell>
          <cell r="F33">
            <v>17814.64</v>
          </cell>
          <cell r="G33" t="str">
            <v>Old price from Arnstadt 2009!!!</v>
          </cell>
        </row>
        <row r="34">
          <cell r="A34" t="str">
            <v>3BU 80883 AEAA</v>
          </cell>
          <cell r="B34" t="str">
            <v>CEC/BD Cabinet Type D-34 (15 BD)</v>
          </cell>
          <cell r="C34" t="str">
            <v>CEC</v>
          </cell>
          <cell r="D34" t="str">
            <v>Arnstadt</v>
          </cell>
          <cell r="E34">
            <v>0</v>
          </cell>
          <cell r="F34">
            <v>18241.93</v>
          </cell>
          <cell r="G34" t="str">
            <v>Old price from Arnstadt 2009!!!</v>
          </cell>
        </row>
        <row r="35">
          <cell r="A35" t="str">
            <v>3BU 80883 AFAA</v>
          </cell>
          <cell r="B35" t="str">
            <v>CEC/BD Cabinet Type D-35 (18 BD)</v>
          </cell>
          <cell r="C35" t="str">
            <v>CEC</v>
          </cell>
          <cell r="D35" t="str">
            <v>Arnstadt</v>
          </cell>
          <cell r="E35">
            <v>0</v>
          </cell>
          <cell r="F35">
            <v>18371.88</v>
          </cell>
          <cell r="G35" t="str">
            <v>Old price from Arnstadt 2009!!!</v>
          </cell>
        </row>
        <row r="36">
          <cell r="A36" t="str">
            <v>3BU 80883 BAAA</v>
          </cell>
          <cell r="B36" t="str">
            <v>CEC/BD Cabinet Type D6-30 (3 BD)</v>
          </cell>
          <cell r="C36" t="str">
            <v>CEC</v>
          </cell>
          <cell r="D36" t="str">
            <v>Arnstadt</v>
          </cell>
          <cell r="E36">
            <v>2</v>
          </cell>
          <cell r="F36">
            <v>13500</v>
          </cell>
          <cell r="G36" t="str">
            <v>estimated areitter</v>
          </cell>
        </row>
        <row r="37">
          <cell r="A37" t="str">
            <v>3BU 80883 BBAA</v>
          </cell>
          <cell r="B37" t="str">
            <v>CEC/BD Cabinet Type D6-31 (6 BD)</v>
          </cell>
          <cell r="C37" t="str">
            <v>CEC</v>
          </cell>
          <cell r="D37" t="str">
            <v>Arnstadt</v>
          </cell>
          <cell r="E37">
            <v>1</v>
          </cell>
          <cell r="F37">
            <v>13700</v>
          </cell>
          <cell r="G37" t="str">
            <v>estimated areitter</v>
          </cell>
        </row>
        <row r="38">
          <cell r="A38" t="str">
            <v>3BU 80883 BCAA</v>
          </cell>
          <cell r="B38" t="str">
            <v>CEC/BD Cabinet Type D6-32 (9 BD)</v>
          </cell>
          <cell r="C38" t="str">
            <v>CEC</v>
          </cell>
          <cell r="D38" t="str">
            <v>Arnstadt</v>
          </cell>
          <cell r="E38">
            <v>0</v>
          </cell>
          <cell r="F38" t="e">
            <v>#N/A</v>
          </cell>
          <cell r="G38" t="str">
            <v>New component - no price available yet!</v>
          </cell>
        </row>
        <row r="39">
          <cell r="A39" t="str">
            <v>3BU 80883 BDAA</v>
          </cell>
          <cell r="B39" t="str">
            <v>CEC/BD Cabinet Type D6-33 (12 BD)</v>
          </cell>
          <cell r="C39" t="str">
            <v>CEC</v>
          </cell>
          <cell r="D39" t="str">
            <v>Arnstadt</v>
          </cell>
          <cell r="E39">
            <v>0</v>
          </cell>
          <cell r="F39">
            <v>14542.65</v>
          </cell>
        </row>
        <row r="40">
          <cell r="A40" t="str">
            <v>3BU 80883 BEAA</v>
          </cell>
          <cell r="B40" t="str">
            <v>CEC/BD Cabinet Type D6-34 (15 BD)</v>
          </cell>
          <cell r="C40" t="str">
            <v>CEC</v>
          </cell>
          <cell r="D40" t="str">
            <v>Arnstadt</v>
          </cell>
          <cell r="E40">
            <v>0</v>
          </cell>
          <cell r="F40">
            <v>15493.55</v>
          </cell>
          <cell r="G40" t="str">
            <v>Price Hr. Krems 24.2.2012</v>
          </cell>
        </row>
        <row r="41">
          <cell r="A41" t="str">
            <v>3BU 80883 BFAA</v>
          </cell>
          <cell r="B41" t="str">
            <v>CEC/BD Cabinet Type D6-35 (18 BD)</v>
          </cell>
          <cell r="C41" t="str">
            <v>CEC</v>
          </cell>
          <cell r="D41" t="str">
            <v>Arnstadt</v>
          </cell>
          <cell r="E41">
            <v>0</v>
          </cell>
          <cell r="F41" t="e">
            <v>#N/A</v>
          </cell>
          <cell r="G41" t="str">
            <v>New component - no price available yet!</v>
          </cell>
        </row>
        <row r="42">
          <cell r="A42" t="str">
            <v>3BU 80885 AAAA</v>
          </cell>
          <cell r="B42" t="str">
            <v>CEC/BD/PLN Cabinet Type D-36 (6 Modem / 3 BD)</v>
          </cell>
          <cell r="C42" t="str">
            <v>CEC</v>
          </cell>
          <cell r="D42" t="str">
            <v>Arnstadt</v>
          </cell>
          <cell r="E42">
            <v>0</v>
          </cell>
          <cell r="F42">
            <v>17582.240000000002</v>
          </cell>
          <cell r="G42" t="str">
            <v>Old price from Arnstadt 2009!!!</v>
          </cell>
        </row>
        <row r="43">
          <cell r="A43" t="str">
            <v>3BU 80885 ABAA</v>
          </cell>
          <cell r="B43" t="str">
            <v>CEC/BD/PLN Cabinet Type D-37 (6 Modem / 6 BD)</v>
          </cell>
          <cell r="C43" t="str">
            <v>CEC</v>
          </cell>
          <cell r="D43" t="str">
            <v>Arnstadt</v>
          </cell>
          <cell r="E43">
            <v>0</v>
          </cell>
          <cell r="F43">
            <v>17712.830000000002</v>
          </cell>
          <cell r="G43" t="str">
            <v>Old price from Arnstadt 2009!!!</v>
          </cell>
        </row>
        <row r="44">
          <cell r="A44" t="str">
            <v>3BU 80885 ACAA</v>
          </cell>
          <cell r="B44" t="str">
            <v>CEC/BD/PLN Cabinet Type D-38 (6 Modem / 9 BD)</v>
          </cell>
          <cell r="C44" t="str">
            <v>CEC</v>
          </cell>
          <cell r="D44" t="str">
            <v>Arnstadt</v>
          </cell>
          <cell r="E44">
            <v>0</v>
          </cell>
          <cell r="F44">
            <v>18143.330000000002</v>
          </cell>
          <cell r="G44" t="str">
            <v>Old price from Arnstadt 2009!!!</v>
          </cell>
        </row>
        <row r="45">
          <cell r="A45" t="str">
            <v>3BU 80885 ADAA</v>
          </cell>
          <cell r="B45" t="str">
            <v>CEC/BD/PLN Cabinet Type D-39 (6 Modem / 12 BD)</v>
          </cell>
          <cell r="C45" t="str">
            <v>CEC</v>
          </cell>
          <cell r="D45" t="str">
            <v>Arnstadt</v>
          </cell>
          <cell r="E45">
            <v>0</v>
          </cell>
          <cell r="F45">
            <v>18275.43</v>
          </cell>
          <cell r="G45" t="str">
            <v>Old price from Arnstadt 2009!!!</v>
          </cell>
        </row>
        <row r="46">
          <cell r="A46" t="str">
            <v>3BU 80885 AEAA</v>
          </cell>
          <cell r="B46" t="str">
            <v>CEC/BD/PLN Cabinet Type D-40 (12 Modem / 3 BD)</v>
          </cell>
          <cell r="C46" t="str">
            <v>CEC</v>
          </cell>
          <cell r="D46" t="str">
            <v>Arnstadt</v>
          </cell>
          <cell r="E46">
            <v>0</v>
          </cell>
          <cell r="F46">
            <v>17957.48</v>
          </cell>
          <cell r="G46" t="str">
            <v>Old price from Arnstadt 2009!!!</v>
          </cell>
        </row>
        <row r="47">
          <cell r="A47" t="str">
            <v>3BU 80885 AFAA</v>
          </cell>
          <cell r="B47" t="str">
            <v>CEC/BD/PLN Cabinet Type D-41 (12 Modem / 6 BD)</v>
          </cell>
          <cell r="C47" t="str">
            <v>CEC</v>
          </cell>
          <cell r="D47" t="str">
            <v>Arnstadt</v>
          </cell>
          <cell r="E47">
            <v>0</v>
          </cell>
          <cell r="F47">
            <v>17112.2</v>
          </cell>
          <cell r="G47" t="str">
            <v>Old price from Arnstadt 2009!!!</v>
          </cell>
        </row>
        <row r="48">
          <cell r="A48" t="str">
            <v>3BU 80885 AGAA</v>
          </cell>
          <cell r="B48" t="str">
            <v>CEC/BD/PLN Cabinet Type D-42 (12 Modem / 9 BD)</v>
          </cell>
          <cell r="C48" t="str">
            <v>CEC</v>
          </cell>
          <cell r="D48" t="str">
            <v>Arnstadt</v>
          </cell>
          <cell r="E48">
            <v>0</v>
          </cell>
          <cell r="F48">
            <v>18517.93</v>
          </cell>
          <cell r="G48" t="str">
            <v>Old price from Arnstadt 2009!!!</v>
          </cell>
        </row>
        <row r="49">
          <cell r="A49" t="str">
            <v>3BU 80885 AHAA</v>
          </cell>
          <cell r="B49" t="str">
            <v>CEC/BD/PLN Cabinet Type D-43 (12 Modem / 12 BD)</v>
          </cell>
          <cell r="C49" t="str">
            <v>CEC</v>
          </cell>
          <cell r="D49" t="str">
            <v>Arnstadt</v>
          </cell>
          <cell r="E49">
            <v>0</v>
          </cell>
          <cell r="F49">
            <v>17639.060000000001</v>
          </cell>
          <cell r="G49" t="str">
            <v>Old price from Arnstadt 2009!!!</v>
          </cell>
        </row>
        <row r="50">
          <cell r="A50" t="str">
            <v>3BU 80885 BAAA</v>
          </cell>
          <cell r="B50" t="str">
            <v>CEC/BD/PLN Cabinet Type D6-36 (6 Modem / 3 BD)</v>
          </cell>
          <cell r="C50" t="str">
            <v>CEC</v>
          </cell>
          <cell r="D50" t="str">
            <v>Arnstadt</v>
          </cell>
          <cell r="E50">
            <v>0</v>
          </cell>
          <cell r="F50" t="e">
            <v>#N/A</v>
          </cell>
          <cell r="G50" t="str">
            <v>New component - no price available yet!</v>
          </cell>
        </row>
        <row r="51">
          <cell r="A51" t="str">
            <v>3BU 80885 BBAA</v>
          </cell>
          <cell r="B51" t="str">
            <v>CEC/BD/PLN Cabinet Type D6-37 (6 Modem / 6 BD)</v>
          </cell>
          <cell r="C51" t="str">
            <v>CEC</v>
          </cell>
          <cell r="D51" t="str">
            <v>Arnstadt</v>
          </cell>
          <cell r="E51">
            <v>0</v>
          </cell>
          <cell r="F51" t="e">
            <v>#N/A</v>
          </cell>
          <cell r="G51" t="str">
            <v>New component - no price available yet!</v>
          </cell>
        </row>
        <row r="52">
          <cell r="A52" t="str">
            <v>3BU 80885 BCAA</v>
          </cell>
          <cell r="B52" t="str">
            <v>CEC/BD/PLN Cabinet Type D6-38 (6 Modem / 9 BD)</v>
          </cell>
          <cell r="C52" t="str">
            <v>CEC</v>
          </cell>
          <cell r="D52" t="str">
            <v>Arnstadt</v>
          </cell>
          <cell r="E52">
            <v>0</v>
          </cell>
          <cell r="F52">
            <v>15351.27</v>
          </cell>
        </row>
        <row r="53">
          <cell r="A53" t="str">
            <v>3BU 80885 BDAA</v>
          </cell>
          <cell r="B53" t="str">
            <v>CEC/BD/PLN Cabinet Type D6-39 (6 Modem / 12 BD)</v>
          </cell>
          <cell r="C53" t="str">
            <v>CEC</v>
          </cell>
          <cell r="D53" t="str">
            <v>Arnstadt</v>
          </cell>
          <cell r="E53">
            <v>5</v>
          </cell>
          <cell r="F53">
            <v>15500</v>
          </cell>
          <cell r="G53" t="str">
            <v>estimated areitter</v>
          </cell>
        </row>
        <row r="54">
          <cell r="A54" t="str">
            <v>3BU 80885 BEAA</v>
          </cell>
          <cell r="B54" t="str">
            <v>CEC/BD/PLN Cabinet Type D6-40 (12 Modem / 3 BD)</v>
          </cell>
          <cell r="C54" t="str">
            <v>CEC</v>
          </cell>
          <cell r="D54" t="str">
            <v>Arnstadt</v>
          </cell>
          <cell r="E54">
            <v>0</v>
          </cell>
          <cell r="F54" t="e">
            <v>#N/A</v>
          </cell>
          <cell r="G54" t="str">
            <v>New component - no price available yet!</v>
          </cell>
        </row>
        <row r="55">
          <cell r="A55" t="str">
            <v>3BU 80885 BFAA</v>
          </cell>
          <cell r="B55" t="str">
            <v>CEC/BD/PLN Cabinet Type D6-41 (12 Modem / 6 BD)</v>
          </cell>
          <cell r="C55" t="str">
            <v>CEC</v>
          </cell>
          <cell r="D55" t="str">
            <v>Arnstadt</v>
          </cell>
          <cell r="E55">
            <v>0</v>
          </cell>
          <cell r="F55" t="e">
            <v>#N/A</v>
          </cell>
          <cell r="G55" t="str">
            <v>New component - no price available yet!</v>
          </cell>
        </row>
        <row r="56">
          <cell r="A56" t="str">
            <v>3BU 80885 BGAA</v>
          </cell>
          <cell r="B56" t="str">
            <v>CEC/BD/PLN Cabinet Type D6-42 (12 Modem / 9 BD)</v>
          </cell>
          <cell r="C56" t="str">
            <v>CEC</v>
          </cell>
          <cell r="D56" t="str">
            <v>Arnstadt</v>
          </cell>
          <cell r="E56">
            <v>0</v>
          </cell>
          <cell r="F56" t="e">
            <v>#N/A</v>
          </cell>
          <cell r="G56" t="str">
            <v>New component - no price available yet!</v>
          </cell>
        </row>
        <row r="57">
          <cell r="A57" t="str">
            <v>3BU 80885 BHAA</v>
          </cell>
          <cell r="B57" t="str">
            <v>CEC/BD/PLN Cabinet Type D6-43 (12 Modem / 12 BD)</v>
          </cell>
          <cell r="C57" t="str">
            <v>CEC</v>
          </cell>
          <cell r="D57" t="str">
            <v>Arnstadt</v>
          </cell>
          <cell r="E57">
            <v>0</v>
          </cell>
          <cell r="F57" t="e">
            <v>#N/A</v>
          </cell>
          <cell r="G57" t="str">
            <v>New component - no price available yet!</v>
          </cell>
        </row>
        <row r="58">
          <cell r="A58" t="str">
            <v>3BU 80887 AAAA</v>
          </cell>
          <cell r="B58" t="str">
            <v>BD/PLN Baugruppe ext. V1-R (2 Modem / 3 BD)</v>
          </cell>
          <cell r="C58" t="str">
            <v>BD</v>
          </cell>
          <cell r="D58" t="str">
            <v>Arnstadt</v>
          </cell>
          <cell r="E58">
            <v>10</v>
          </cell>
          <cell r="F58">
            <v>1029.0683999999999</v>
          </cell>
        </row>
        <row r="59">
          <cell r="A59" t="str">
            <v>3BU 80888 AAAA</v>
          </cell>
          <cell r="B59" t="str">
            <v>LEU PV3.5 Shelf SAB / 230V / MR</v>
          </cell>
          <cell r="C59" t="str">
            <v>BD</v>
          </cell>
          <cell r="D59" t="str">
            <v>Crypto</v>
          </cell>
          <cell r="E59">
            <v>0</v>
          </cell>
          <cell r="F59">
            <v>0</v>
          </cell>
        </row>
        <row r="60">
          <cell r="A60" t="str">
            <v>3BU 80888 ABAA</v>
          </cell>
          <cell r="B60" t="str">
            <v>LEU PV3.5 Shelf PAB / 230V</v>
          </cell>
          <cell r="C60" t="str">
            <v>BD</v>
          </cell>
          <cell r="D60" t="str">
            <v>Crypto</v>
          </cell>
          <cell r="E60">
            <v>0</v>
          </cell>
          <cell r="F60">
            <v>0</v>
          </cell>
        </row>
        <row r="61">
          <cell r="A61" t="str">
            <v>3BU 80888 ACAA</v>
          </cell>
          <cell r="B61" t="str">
            <v>LEU PV3.5 Shelf PABL / 230V / MR</v>
          </cell>
          <cell r="C61" t="str">
            <v>BD</v>
          </cell>
          <cell r="D61" t="str">
            <v>Crypto</v>
          </cell>
          <cell r="E61">
            <v>0</v>
          </cell>
          <cell r="F61">
            <v>0</v>
          </cell>
        </row>
        <row r="62">
          <cell r="A62" t="str">
            <v>3BU 80888 ADAA</v>
          </cell>
          <cell r="B62" t="str">
            <v>LEU PV3.5 Shelf PABL / 110V / MR</v>
          </cell>
          <cell r="C62" t="str">
            <v>BD</v>
          </cell>
          <cell r="D62" t="str">
            <v>Crypto</v>
          </cell>
          <cell r="E62">
            <v>0</v>
          </cell>
          <cell r="F62">
            <v>0</v>
          </cell>
        </row>
        <row r="63">
          <cell r="A63" t="str">
            <v>3BU 80889 AAAA</v>
          </cell>
          <cell r="B63" t="str">
            <v>PDUK 230V AC</v>
          </cell>
          <cell r="C63" t="str">
            <v>BD</v>
          </cell>
          <cell r="D63" t="str">
            <v>Crypto</v>
          </cell>
          <cell r="E63">
            <v>3</v>
          </cell>
          <cell r="F63">
            <v>686.33380952590721</v>
          </cell>
        </row>
        <row r="64">
          <cell r="A64" t="str">
            <v>3BU 80890 AAAA</v>
          </cell>
          <cell r="B64" t="str">
            <v>PABK</v>
          </cell>
          <cell r="C64" t="str">
            <v>BD</v>
          </cell>
          <cell r="D64" t="str">
            <v>Crypto</v>
          </cell>
          <cell r="E64">
            <v>0</v>
          </cell>
          <cell r="F64">
            <v>0</v>
          </cell>
        </row>
        <row r="65">
          <cell r="A65" t="str">
            <v>3BU 80891 AAAA</v>
          </cell>
          <cell r="B65" t="str">
            <v>PICCK</v>
          </cell>
          <cell r="C65" t="str">
            <v>BD</v>
          </cell>
          <cell r="D65" t="str">
            <v>Crypto</v>
          </cell>
          <cell r="E65">
            <v>3</v>
          </cell>
          <cell r="F65">
            <v>908.40734672377846</v>
          </cell>
        </row>
        <row r="66">
          <cell r="A66" t="str">
            <v>3BU 80892 AAAA</v>
          </cell>
          <cell r="B66" t="str">
            <v>PICCK / 1 Balise</v>
          </cell>
          <cell r="C66" t="str">
            <v>BD</v>
          </cell>
          <cell r="D66" t="str">
            <v>Crypto</v>
          </cell>
          <cell r="E66">
            <v>0</v>
          </cell>
          <cell r="F66">
            <v>0</v>
          </cell>
        </row>
        <row r="67">
          <cell r="A67" t="str">
            <v>3BU 80893 AAAA</v>
          </cell>
          <cell r="B67" t="str">
            <v>PICCG2K</v>
          </cell>
          <cell r="C67" t="str">
            <v>BD</v>
          </cell>
          <cell r="D67" t="str">
            <v>Crypto</v>
          </cell>
          <cell r="E67">
            <v>0</v>
          </cell>
          <cell r="F67">
            <v>0</v>
          </cell>
        </row>
        <row r="68">
          <cell r="A68" t="str">
            <v>3BU 80895 AAAA</v>
          </cell>
          <cell r="B68" t="str">
            <v>CEC/BD Cabinet Type 20 (3 BD)</v>
          </cell>
          <cell r="C68" t="str">
            <v>CEC</v>
          </cell>
          <cell r="D68" t="str">
            <v>Arnstadt</v>
          </cell>
          <cell r="E68">
            <v>0</v>
          </cell>
          <cell r="F68">
            <v>7811.63</v>
          </cell>
          <cell r="G68" t="str">
            <v>Old price from Arnstadt 2009!!!</v>
          </cell>
        </row>
        <row r="69">
          <cell r="A69" t="str">
            <v>3BU 80895 ABAA</v>
          </cell>
          <cell r="B69" t="str">
            <v>CEC/BD Cabinet Type 21 (6 BD)</v>
          </cell>
          <cell r="C69" t="str">
            <v>CEC</v>
          </cell>
          <cell r="D69" t="str">
            <v>Arnstadt</v>
          </cell>
          <cell r="E69">
            <v>0</v>
          </cell>
          <cell r="F69">
            <v>8161.1</v>
          </cell>
          <cell r="G69" t="str">
            <v>Old price from Arnstadt 2009!!!</v>
          </cell>
        </row>
        <row r="70">
          <cell r="A70" t="str">
            <v>3BU 80895 ACAA</v>
          </cell>
          <cell r="B70" t="str">
            <v>CEC/BD Cabinet Type 22 (9 BD)</v>
          </cell>
          <cell r="C70" t="str">
            <v>CEC</v>
          </cell>
          <cell r="D70" t="str">
            <v>Arnstadt</v>
          </cell>
          <cell r="E70">
            <v>0</v>
          </cell>
          <cell r="F70">
            <v>9020.73</v>
          </cell>
          <cell r="G70" t="str">
            <v>Old price from Arnstadt 2009!!!</v>
          </cell>
        </row>
        <row r="71">
          <cell r="A71" t="str">
            <v>3BU 80895 ADAA</v>
          </cell>
          <cell r="B71" t="str">
            <v>CEC/BD Cabinet Type 23 (12 BD)</v>
          </cell>
          <cell r="C71" t="str">
            <v>CEC</v>
          </cell>
          <cell r="D71" t="str">
            <v>Arnstadt</v>
          </cell>
          <cell r="E71">
            <v>0</v>
          </cell>
          <cell r="F71">
            <v>9523.31</v>
          </cell>
          <cell r="G71" t="str">
            <v>Old price from Arnstadt 2009!!!</v>
          </cell>
        </row>
        <row r="72">
          <cell r="A72" t="str">
            <v>3BU 80895 AEAA</v>
          </cell>
          <cell r="B72" t="str">
            <v>CEC/BD Cabinet Type 24 (15 BD)</v>
          </cell>
          <cell r="C72" t="str">
            <v>CEC</v>
          </cell>
          <cell r="D72" t="str">
            <v>Arnstadt</v>
          </cell>
          <cell r="E72">
            <v>0</v>
          </cell>
          <cell r="F72">
            <v>9911.98</v>
          </cell>
          <cell r="G72" t="str">
            <v>Old price from Arnstadt 2009!!!</v>
          </cell>
        </row>
        <row r="73">
          <cell r="A73" t="str">
            <v>3BU 80895 AFAA</v>
          </cell>
          <cell r="B73" t="str">
            <v>CEC/BD Cabinet Type 25 (16 BD)</v>
          </cell>
          <cell r="C73" t="str">
            <v>CEC</v>
          </cell>
          <cell r="D73" t="str">
            <v>Arnstadt</v>
          </cell>
          <cell r="E73">
            <v>0</v>
          </cell>
          <cell r="F73">
            <v>9481.8752000000004</v>
          </cell>
        </row>
        <row r="74">
          <cell r="A74" t="str">
            <v>3BU 80896 AAAA</v>
          </cell>
          <cell r="B74" t="str">
            <v>SABK</v>
          </cell>
          <cell r="C74" t="str">
            <v>BD</v>
          </cell>
          <cell r="D74" t="str">
            <v>Crypto</v>
          </cell>
          <cell r="E74">
            <v>3</v>
          </cell>
          <cell r="F74">
            <v>735.65804180665418</v>
          </cell>
        </row>
        <row r="75">
          <cell r="A75" t="str">
            <v>3BU 80901 0103</v>
          </cell>
          <cell r="B75" t="str">
            <v>Line Transformer</v>
          </cell>
          <cell r="C75" t="str">
            <v>PLN</v>
          </cell>
          <cell r="D75" t="str">
            <v>Arnstadt</v>
          </cell>
          <cell r="E75">
            <v>65</v>
          </cell>
          <cell r="F75">
            <v>144.4</v>
          </cell>
          <cell r="G75" t="str">
            <v>Email: B. Fritzl (14.05.2009)</v>
          </cell>
        </row>
        <row r="76">
          <cell r="A76" t="str">
            <v>3BU 81101 0010</v>
          </cell>
          <cell r="B76" t="str">
            <v>Switchable Balise (Siemens)</v>
          </cell>
          <cell r="C76" t="str">
            <v>BALISE</v>
          </cell>
          <cell r="D76" t="str">
            <v>Siemens</v>
          </cell>
          <cell r="E76">
            <v>176</v>
          </cell>
          <cell r="F76">
            <v>938.6</v>
          </cell>
        </row>
        <row r="77">
          <cell r="A77" t="str">
            <v>3BU 81101 0011</v>
          </cell>
          <cell r="B77" t="str">
            <v>Fixed Balise (Siemens)</v>
          </cell>
          <cell r="C77" t="str">
            <v>BALISE</v>
          </cell>
          <cell r="D77" t="str">
            <v>Siemens</v>
          </cell>
          <cell r="E77">
            <v>111</v>
          </cell>
          <cell r="F77">
            <v>837.61</v>
          </cell>
        </row>
        <row r="78">
          <cell r="A78" t="str">
            <v>3BU 81129 0001</v>
          </cell>
          <cell r="B78" t="str">
            <v>Ground pier f. mushroom box</v>
          </cell>
          <cell r="C78" t="str">
            <v>BD</v>
          </cell>
          <cell r="D78" t="str">
            <v>Arnstadt</v>
          </cell>
          <cell r="E78">
            <v>2</v>
          </cell>
          <cell r="F78">
            <v>26.71</v>
          </cell>
          <cell r="G78" t="str">
            <v>Old price from Morocco!!!</v>
          </cell>
        </row>
        <row r="79">
          <cell r="A79" t="str">
            <v>3BU 81501 0028</v>
          </cell>
          <cell r="B79" t="str">
            <v>CFL2 box</v>
          </cell>
          <cell r="C79" t="str">
            <v>BD</v>
          </cell>
          <cell r="D79" t="str">
            <v>Crypto</v>
          </cell>
          <cell r="E79">
            <v>0</v>
          </cell>
          <cell r="F79">
            <v>0</v>
          </cell>
        </row>
        <row r="80">
          <cell r="A80" t="str">
            <v>3BU 81501 0029</v>
          </cell>
          <cell r="B80" t="str">
            <v>CFL2 post</v>
          </cell>
          <cell r="C80" t="str">
            <v>BD</v>
          </cell>
          <cell r="D80" t="str">
            <v>Crypto</v>
          </cell>
          <cell r="E80">
            <v>0</v>
          </cell>
          <cell r="F80">
            <v>0</v>
          </cell>
        </row>
        <row r="81">
          <cell r="A81" t="str">
            <v>3BU 81503 AAAA</v>
          </cell>
          <cell r="B81" t="str">
            <v>SAB, 6 inputs (10TE)</v>
          </cell>
          <cell r="C81" t="str">
            <v>BD</v>
          </cell>
          <cell r="D81" t="str">
            <v>Crypto</v>
          </cell>
          <cell r="E81">
            <v>0</v>
          </cell>
          <cell r="F81">
            <v>0</v>
          </cell>
        </row>
        <row r="82">
          <cell r="A82" t="str">
            <v>3BU 81503 ABAA</v>
          </cell>
          <cell r="B82" t="str">
            <v>SAB, 6 inputs (8TE)</v>
          </cell>
          <cell r="C82" t="str">
            <v>BD</v>
          </cell>
          <cell r="D82" t="str">
            <v>Crypto</v>
          </cell>
          <cell r="E82">
            <v>0</v>
          </cell>
          <cell r="F82">
            <v>0</v>
          </cell>
        </row>
        <row r="83">
          <cell r="A83" t="str">
            <v>3BU 81511 AAAA</v>
          </cell>
          <cell r="B83" t="str">
            <v>LEU PV3.6 Shelf with CEB supp. / 230V</v>
          </cell>
          <cell r="C83" t="str">
            <v>BD</v>
          </cell>
          <cell r="D83" t="str">
            <v>Crypto</v>
          </cell>
          <cell r="E83">
            <v>0</v>
          </cell>
          <cell r="F83">
            <v>0</v>
          </cell>
        </row>
        <row r="84">
          <cell r="A84" t="str">
            <v>3BU 81512 AAAA</v>
          </cell>
          <cell r="B84" t="str">
            <v>LEU PV3.6 Shelf w/o CEB supp. / 230V</v>
          </cell>
          <cell r="C84" t="str">
            <v>BD</v>
          </cell>
          <cell r="D84" t="str">
            <v>Crypto</v>
          </cell>
          <cell r="E84">
            <v>2</v>
          </cell>
          <cell r="F84">
            <v>707.51672090738248</v>
          </cell>
        </row>
        <row r="85">
          <cell r="A85" t="str">
            <v>3BU 81614 AAAA</v>
          </cell>
          <cell r="B85" t="str">
            <v>LEU PV3.7 Shelf CEB / 230V / MR</v>
          </cell>
          <cell r="C85" t="str">
            <v>BD</v>
          </cell>
          <cell r="D85" t="str">
            <v>Crypto</v>
          </cell>
          <cell r="E85">
            <v>0</v>
          </cell>
          <cell r="F85">
            <v>0</v>
          </cell>
        </row>
        <row r="86">
          <cell r="A86" t="str">
            <v>3BU 81699 0008</v>
          </cell>
          <cell r="B86" t="str">
            <v>Front plate (6TE)</v>
          </cell>
          <cell r="C86" t="str">
            <v>BD</v>
          </cell>
          <cell r="D86" t="str">
            <v>Crypto</v>
          </cell>
          <cell r="E86">
            <v>0</v>
          </cell>
          <cell r="F86">
            <v>0</v>
          </cell>
        </row>
        <row r="87">
          <cell r="A87" t="str">
            <v>3BU 81699 0018</v>
          </cell>
          <cell r="B87" t="str">
            <v>Front plate (10TE)</v>
          </cell>
          <cell r="C87" t="str">
            <v>BD</v>
          </cell>
          <cell r="D87" t="str">
            <v>Crypto</v>
          </cell>
          <cell r="E87">
            <v>19</v>
          </cell>
          <cell r="F87">
            <v>17.321917985988048</v>
          </cell>
        </row>
        <row r="88">
          <cell r="A88" t="str">
            <v>3BU 81699 0019</v>
          </cell>
          <cell r="B88" t="str">
            <v>Front plate (8TE)</v>
          </cell>
          <cell r="C88" t="str">
            <v>BD</v>
          </cell>
          <cell r="D88" t="str">
            <v>Crypto</v>
          </cell>
          <cell r="E88">
            <v>0</v>
          </cell>
          <cell r="F88">
            <v>0</v>
          </cell>
        </row>
        <row r="89">
          <cell r="A89" t="str">
            <v>3BU 81704 AAAA</v>
          </cell>
          <cell r="B89" t="str">
            <v>RAB (10TE)</v>
          </cell>
          <cell r="C89" t="str">
            <v>BD</v>
          </cell>
          <cell r="D89" t="str">
            <v>Crypto</v>
          </cell>
          <cell r="E89">
            <v>0</v>
          </cell>
          <cell r="F89">
            <v>0</v>
          </cell>
        </row>
        <row r="90">
          <cell r="A90" t="str">
            <v>3BU 81704 ABAA</v>
          </cell>
          <cell r="B90" t="str">
            <v>RAB1 (10TE)</v>
          </cell>
          <cell r="C90" t="str">
            <v>BD</v>
          </cell>
          <cell r="D90" t="str">
            <v>Crypto</v>
          </cell>
          <cell r="E90">
            <v>0</v>
          </cell>
          <cell r="F90">
            <v>0</v>
          </cell>
        </row>
        <row r="91">
          <cell r="A91" t="str">
            <v>3BU 81704 ACAA</v>
          </cell>
          <cell r="B91" t="str">
            <v>RAB2 (10TE)</v>
          </cell>
          <cell r="C91" t="str">
            <v>BD</v>
          </cell>
          <cell r="D91" t="str">
            <v>Crypto</v>
          </cell>
          <cell r="E91">
            <v>0</v>
          </cell>
          <cell r="F91">
            <v>0</v>
          </cell>
        </row>
        <row r="92">
          <cell r="A92" t="str">
            <v>3BU 81704 ADAA</v>
          </cell>
          <cell r="B92" t="str">
            <v>RAB1 (6TE)</v>
          </cell>
          <cell r="C92" t="str">
            <v>BD</v>
          </cell>
          <cell r="D92" t="str">
            <v>Crypto</v>
          </cell>
          <cell r="E92">
            <v>0</v>
          </cell>
          <cell r="F92">
            <v>0</v>
          </cell>
        </row>
        <row r="93">
          <cell r="A93" t="str">
            <v>3BU 81704 AEAA</v>
          </cell>
          <cell r="B93" t="str">
            <v>RAB2 (6TE)</v>
          </cell>
          <cell r="C93" t="str">
            <v>BD</v>
          </cell>
          <cell r="D93" t="str">
            <v>Crypto</v>
          </cell>
          <cell r="E93">
            <v>0</v>
          </cell>
          <cell r="F93">
            <v>0</v>
          </cell>
        </row>
        <row r="94">
          <cell r="A94" t="str">
            <v>3BU 81707 AAAA</v>
          </cell>
          <cell r="B94" t="str">
            <v>LEU PV3.4 Shelf RABx / 48V</v>
          </cell>
          <cell r="C94" t="str">
            <v>BD</v>
          </cell>
          <cell r="D94" t="str">
            <v>Crypto</v>
          </cell>
          <cell r="E94">
            <v>0</v>
          </cell>
          <cell r="F94">
            <v>0</v>
          </cell>
        </row>
        <row r="95">
          <cell r="A95" t="str">
            <v>3BU 81707 ABAA</v>
          </cell>
          <cell r="B95" t="str">
            <v>LEU PV3.4 Shelf RABx / 230V</v>
          </cell>
          <cell r="C95" t="str">
            <v>BD</v>
          </cell>
          <cell r="D95" t="str">
            <v>Crypto</v>
          </cell>
          <cell r="E95">
            <v>0</v>
          </cell>
          <cell r="F95">
            <v>0</v>
          </cell>
        </row>
        <row r="96">
          <cell r="A96" t="str">
            <v>3BU 81707 ACAA</v>
          </cell>
          <cell r="B96" t="str">
            <v>LEU PV3.4 Shelf PAB / 230V</v>
          </cell>
          <cell r="C96" t="str">
            <v>BD</v>
          </cell>
          <cell r="D96" t="str">
            <v>Crypto</v>
          </cell>
          <cell r="E96">
            <v>0</v>
          </cell>
          <cell r="F96">
            <v>0</v>
          </cell>
        </row>
        <row r="97">
          <cell r="A97" t="str">
            <v>3BY 01006 AAAA</v>
          </cell>
          <cell r="B97" t="str">
            <v>DCB1D</v>
          </cell>
          <cell r="C97" t="str">
            <v>PLN</v>
          </cell>
          <cell r="D97" t="str">
            <v>Arnstadt</v>
          </cell>
          <cell r="E97">
            <v>21</v>
          </cell>
          <cell r="F97">
            <v>603.45528173744003</v>
          </cell>
          <cell r="G97" t="str">
            <v>Old price from Arnstadt 2009!!!</v>
          </cell>
        </row>
        <row r="98">
          <cell r="A98" t="str">
            <v>3BY 01018 AAAA</v>
          </cell>
          <cell r="B98" t="str">
            <v>SCB1D</v>
          </cell>
          <cell r="C98" t="str">
            <v>PLN</v>
          </cell>
          <cell r="D98" t="str">
            <v>Arnstadt</v>
          </cell>
          <cell r="E98">
            <v>0</v>
          </cell>
          <cell r="F98">
            <v>344.14570936568003</v>
          </cell>
          <cell r="G98" t="str">
            <v>Old price from Arnstadt 2009!!!</v>
          </cell>
        </row>
        <row r="99">
          <cell r="A99" t="str">
            <v>3CR 01825 0100</v>
          </cell>
          <cell r="B99" t="str">
            <v>Mushroom box (incl. lock cover)</v>
          </cell>
          <cell r="C99" t="str">
            <v>BD</v>
          </cell>
          <cell r="D99" t="str">
            <v>Arnstadt</v>
          </cell>
          <cell r="E99">
            <v>2</v>
          </cell>
          <cell r="F99">
            <v>240.59</v>
          </cell>
          <cell r="G99" t="str">
            <v>Old price from Morocco!!!</v>
          </cell>
        </row>
        <row r="100">
          <cell r="A100" t="str">
            <v>3CR 05515 AAAA</v>
          </cell>
          <cell r="B100" t="str">
            <v>PDU 230V AC</v>
          </cell>
          <cell r="C100" t="str">
            <v>CEC</v>
          </cell>
          <cell r="D100" t="str">
            <v>Arnstadt</v>
          </cell>
          <cell r="E100">
            <v>0</v>
          </cell>
          <cell r="F100">
            <v>165.63300987470501</v>
          </cell>
          <cell r="G100" t="str">
            <v>Old price from Arnstadt 2009!!!</v>
          </cell>
        </row>
        <row r="101">
          <cell r="A101" t="str">
            <v>3CR 30105 AAAB</v>
          </cell>
          <cell r="B101" t="str">
            <v>D2-I/O-M, 288MB</v>
          </cell>
          <cell r="C101" t="str">
            <v>CEC</v>
          </cell>
          <cell r="D101" t="str">
            <v>Arnstadt</v>
          </cell>
          <cell r="E101">
            <v>0</v>
          </cell>
          <cell r="F101">
            <v>1461.6184000000001</v>
          </cell>
        </row>
        <row r="102">
          <cell r="A102" t="str">
            <v>3CR 30113 AAAE</v>
          </cell>
          <cell r="B102" t="str">
            <v>P166, 128MB</v>
          </cell>
          <cell r="C102" t="str">
            <v>CEC</v>
          </cell>
          <cell r="D102" t="str">
            <v>Arnstadt</v>
          </cell>
          <cell r="E102">
            <v>0</v>
          </cell>
          <cell r="F102">
            <v>901.99</v>
          </cell>
        </row>
        <row r="103">
          <cell r="A103" t="str">
            <v>3CR 30306 BAAB</v>
          </cell>
          <cell r="B103" t="str">
            <v>ETH-CON V4</v>
          </cell>
          <cell r="C103" t="str">
            <v>CEC</v>
          </cell>
          <cell r="D103" t="str">
            <v>Arnstadt</v>
          </cell>
          <cell r="E103">
            <v>0</v>
          </cell>
          <cell r="F103">
            <v>825.85540000000003</v>
          </cell>
        </row>
        <row r="104">
          <cell r="A104" t="str">
            <v>3CR 30411 AAAA</v>
          </cell>
          <cell r="B104" t="str">
            <v>HDC4 V2-1</v>
          </cell>
          <cell r="C104" t="str">
            <v>CEC</v>
          </cell>
          <cell r="D104" t="str">
            <v>Arnstadt</v>
          </cell>
          <cell r="E104">
            <v>0</v>
          </cell>
          <cell r="F104">
            <v>1280.44</v>
          </cell>
          <cell r="G104" t="str">
            <v>Old price from Arnstadt 2009!!!</v>
          </cell>
        </row>
        <row r="105">
          <cell r="A105" t="str">
            <v>3CR 30604 ADAA</v>
          </cell>
          <cell r="B105" t="str">
            <v>Converter AC/DC 230V/3V,5V,12V,-12V</v>
          </cell>
          <cell r="C105" t="str">
            <v>CEC</v>
          </cell>
          <cell r="D105" t="str">
            <v>Arnstadt</v>
          </cell>
          <cell r="E105">
            <v>26</v>
          </cell>
          <cell r="F105">
            <v>558.6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DDF5-ECCE-4C68-AA53-37BF378DB4BF}">
  <dimension ref="A1:P38"/>
  <sheetViews>
    <sheetView showGridLines="0" tabSelected="1" zoomScale="115" zoomScaleNormal="115" zoomScalePageLayoutView="85" workbookViewId="0">
      <pane ySplit="5" topLeftCell="A6" activePane="bottomLeft" state="frozen"/>
      <selection activeCell="C1" sqref="C1"/>
      <selection pane="bottomLeft" activeCell="T22" sqref="T22"/>
    </sheetView>
  </sheetViews>
  <sheetFormatPr defaultColWidth="9.109375" defaultRowHeight="13.2"/>
  <cols>
    <col min="1" max="1" width="1.88671875" style="1" customWidth="1"/>
    <col min="2" max="2" width="25.109375" style="1" customWidth="1"/>
    <col min="3" max="3" width="59.33203125" style="1" customWidth="1"/>
    <col min="4" max="4" width="17" style="1" customWidth="1"/>
    <col min="5" max="5" width="8.6640625" style="1" customWidth="1"/>
    <col min="6" max="6" width="1.88671875" style="1" customWidth="1"/>
    <col min="7" max="7" width="10.5546875" style="1" customWidth="1"/>
    <col min="8" max="8" width="12.44140625" style="2" customWidth="1"/>
    <col min="9" max="10" width="8.5546875" style="1" customWidth="1"/>
    <col min="11" max="11" width="1.6640625" style="1" customWidth="1"/>
    <col min="12" max="12" width="10" style="1" customWidth="1"/>
    <col min="13" max="13" width="9.109375" style="2" customWidth="1"/>
    <col min="14" max="14" width="3.33203125" style="1" customWidth="1"/>
    <col min="15" max="15" width="8.6640625" style="2" bestFit="1" customWidth="1"/>
    <col min="16" max="16" width="8.6640625" style="1" bestFit="1" customWidth="1"/>
    <col min="17" max="16384" width="9.109375" style="1"/>
  </cols>
  <sheetData>
    <row r="1" spans="1:16" ht="19.5" customHeight="1"/>
    <row r="2" spans="1:16" ht="26.25" customHeight="1">
      <c r="A2" s="82"/>
      <c r="B2" s="83"/>
      <c r="C2" s="83"/>
      <c r="D2" s="83"/>
      <c r="E2" s="84"/>
      <c r="F2" s="45"/>
      <c r="G2" s="85" t="s">
        <v>8</v>
      </c>
      <c r="H2" s="86"/>
      <c r="I2" s="86"/>
      <c r="J2" s="87"/>
      <c r="K2" s="45"/>
      <c r="L2" s="94" t="s">
        <v>31</v>
      </c>
      <c r="M2" s="95"/>
      <c r="N2" s="45"/>
      <c r="O2" s="80" t="s">
        <v>30</v>
      </c>
      <c r="P2" s="81"/>
    </row>
    <row r="3" spans="1:16" ht="19.5" customHeight="1">
      <c r="A3" s="91" t="s">
        <v>34</v>
      </c>
      <c r="B3" s="92"/>
      <c r="C3" s="92"/>
      <c r="D3" s="92"/>
      <c r="E3" s="93"/>
      <c r="F3" s="46"/>
      <c r="G3" s="88"/>
      <c r="H3" s="89"/>
      <c r="I3" s="89"/>
      <c r="J3" s="90"/>
      <c r="K3" s="46"/>
      <c r="L3" s="78" t="s">
        <v>7</v>
      </c>
      <c r="M3" s="79"/>
      <c r="N3" s="46"/>
      <c r="O3" s="78" t="s">
        <v>6</v>
      </c>
      <c r="P3" s="79"/>
    </row>
    <row r="4" spans="1:16" ht="52.8">
      <c r="A4" s="62"/>
      <c r="B4" s="11" t="s">
        <v>5</v>
      </c>
      <c r="C4" s="11" t="s">
        <v>4</v>
      </c>
      <c r="D4" s="11" t="s">
        <v>3</v>
      </c>
      <c r="E4" s="63" t="s">
        <v>36</v>
      </c>
      <c r="F4" s="61"/>
      <c r="G4" s="57" t="s">
        <v>87</v>
      </c>
      <c r="H4" s="10" t="s">
        <v>2</v>
      </c>
      <c r="I4" s="10" t="s">
        <v>1</v>
      </c>
      <c r="J4" s="58" t="s">
        <v>0</v>
      </c>
      <c r="K4" s="47"/>
      <c r="L4" s="40" t="str">
        <f>L5&amp;" year"</f>
        <v>1 year</v>
      </c>
      <c r="M4" s="41" t="str">
        <f>M5&amp;" years"</f>
        <v>5 years</v>
      </c>
      <c r="N4" s="47"/>
      <c r="O4" s="40" t="str">
        <f>O5&amp;" year"</f>
        <v>1 year</v>
      </c>
      <c r="P4" s="41" t="str">
        <f>P5&amp;" years"</f>
        <v>5 years</v>
      </c>
    </row>
    <row r="5" spans="1:16" ht="14.4">
      <c r="A5" s="64"/>
      <c r="B5" s="5"/>
      <c r="C5" s="5"/>
      <c r="D5" s="5"/>
      <c r="E5" s="65"/>
      <c r="F5" s="48"/>
      <c r="G5" s="59"/>
      <c r="H5" s="9"/>
      <c r="I5" s="9"/>
      <c r="J5" s="60"/>
      <c r="K5" s="48"/>
      <c r="L5" s="42">
        <v>1</v>
      </c>
      <c r="M5" s="8">
        <v>5</v>
      </c>
      <c r="N5" s="48"/>
      <c r="O5" s="42">
        <v>1</v>
      </c>
      <c r="P5" s="8">
        <v>5</v>
      </c>
    </row>
    <row r="6" spans="1:16" ht="14.4">
      <c r="A6" s="67"/>
      <c r="B6" s="4" t="s">
        <v>38</v>
      </c>
      <c r="C6" s="7" t="s">
        <v>39</v>
      </c>
      <c r="D6" s="33" t="s">
        <v>40</v>
      </c>
      <c r="E6" s="96">
        <v>842.6</v>
      </c>
      <c r="F6" s="48"/>
      <c r="G6" s="97" t="s">
        <v>86</v>
      </c>
      <c r="H6" s="98" t="s">
        <v>86</v>
      </c>
      <c r="I6" s="99" t="s">
        <v>86</v>
      </c>
      <c r="J6" s="100" t="s">
        <v>86</v>
      </c>
      <c r="K6" s="48"/>
      <c r="L6" s="101" t="s">
        <v>86</v>
      </c>
      <c r="M6" s="102" t="s">
        <v>86</v>
      </c>
      <c r="N6" s="48"/>
      <c r="O6" s="103" t="s">
        <v>86</v>
      </c>
      <c r="P6" s="104" t="s">
        <v>86</v>
      </c>
    </row>
    <row r="7" spans="1:16" ht="14.4">
      <c r="A7" s="67"/>
      <c r="B7" s="4" t="s">
        <v>38</v>
      </c>
      <c r="C7" s="7" t="s">
        <v>41</v>
      </c>
      <c r="D7" s="33" t="s">
        <v>42</v>
      </c>
      <c r="E7" s="96">
        <v>842.6</v>
      </c>
      <c r="F7" s="48"/>
      <c r="G7" s="55"/>
      <c r="H7" s="6"/>
      <c r="I7" s="3"/>
      <c r="J7" s="56"/>
      <c r="K7" s="48"/>
      <c r="L7" s="43"/>
      <c r="M7" s="44"/>
      <c r="N7" s="48"/>
      <c r="O7" s="49"/>
      <c r="P7" s="39"/>
    </row>
    <row r="8" spans="1:16" ht="14.4">
      <c r="A8" s="67"/>
      <c r="B8" s="4" t="s">
        <v>38</v>
      </c>
      <c r="C8" s="7" t="s">
        <v>43</v>
      </c>
      <c r="D8" s="33" t="s">
        <v>44</v>
      </c>
      <c r="E8" s="96">
        <v>842.6</v>
      </c>
      <c r="F8" s="48"/>
      <c r="G8" s="55">
        <v>3498</v>
      </c>
      <c r="H8" s="6">
        <f t="shared" ref="H6:H16" si="0">1/(G8*nano)</f>
        <v>285877.6443682104</v>
      </c>
      <c r="I8" s="3">
        <f t="shared" ref="I6:I16" si="1">G8*0.000000001*hours_per_year*factor_NFF</f>
        <v>3.9835224000000002E-2</v>
      </c>
      <c r="J8" s="56">
        <v>0.3</v>
      </c>
      <c r="K8" s="48"/>
      <c r="L8" s="43">
        <f t="shared" ref="L7:L10" si="2">MAX(ROUNDUP($L$5*E8*I8*J8,0),1)</f>
        <v>11</v>
      </c>
      <c r="M8" s="44">
        <f t="shared" ref="M6:M10" si="3">MAX(ROUNDUP($M$5*E8*I8*J8,0),1)</f>
        <v>51</v>
      </c>
      <c r="N8" s="48"/>
      <c r="O8" s="49">
        <f t="shared" ref="O7:O10" si="4">ROUNDUP($O$5*E8*I8,0)</f>
        <v>34</v>
      </c>
      <c r="P8" s="39">
        <f t="shared" ref="P6:P10" si="5">ROUNDUP($P$5*E8*I8,0)</f>
        <v>168</v>
      </c>
    </row>
    <row r="9" spans="1:16" ht="14.4">
      <c r="A9" s="67"/>
      <c r="B9" s="4" t="s">
        <v>38</v>
      </c>
      <c r="C9" s="7" t="s">
        <v>45</v>
      </c>
      <c r="D9" s="33" t="s">
        <v>46</v>
      </c>
      <c r="E9" s="96">
        <v>842.6</v>
      </c>
      <c r="F9" s="48"/>
      <c r="G9" s="55">
        <v>3498</v>
      </c>
      <c r="H9" s="6">
        <f t="shared" si="0"/>
        <v>285877.6443682104</v>
      </c>
      <c r="I9" s="3">
        <f t="shared" si="1"/>
        <v>3.9835224000000002E-2</v>
      </c>
      <c r="J9" s="56">
        <v>0.3</v>
      </c>
      <c r="K9" s="48"/>
      <c r="L9" s="43">
        <f t="shared" si="2"/>
        <v>11</v>
      </c>
      <c r="M9" s="44">
        <f t="shared" si="3"/>
        <v>51</v>
      </c>
      <c r="N9" s="48"/>
      <c r="O9" s="49">
        <f t="shared" si="4"/>
        <v>34</v>
      </c>
      <c r="P9" s="39">
        <f t="shared" si="5"/>
        <v>168</v>
      </c>
    </row>
    <row r="10" spans="1:16" ht="14.4">
      <c r="A10" s="67"/>
      <c r="B10" s="4" t="s">
        <v>38</v>
      </c>
      <c r="C10" s="7" t="s">
        <v>47</v>
      </c>
      <c r="D10" s="33" t="s">
        <v>48</v>
      </c>
      <c r="E10" s="96">
        <v>842.6</v>
      </c>
      <c r="F10" s="48"/>
      <c r="G10" s="97" t="s">
        <v>86</v>
      </c>
      <c r="H10" s="98" t="s">
        <v>86</v>
      </c>
      <c r="I10" s="99" t="s">
        <v>86</v>
      </c>
      <c r="J10" s="100" t="s">
        <v>86</v>
      </c>
      <c r="K10" s="48"/>
      <c r="L10" s="101" t="s">
        <v>86</v>
      </c>
      <c r="M10" s="102" t="s">
        <v>86</v>
      </c>
      <c r="N10" s="48"/>
      <c r="O10" s="103" t="s">
        <v>86</v>
      </c>
      <c r="P10" s="104" t="s">
        <v>86</v>
      </c>
    </row>
    <row r="11" spans="1:16" ht="14.4">
      <c r="A11" s="66"/>
      <c r="B11" s="4" t="s">
        <v>38</v>
      </c>
      <c r="C11" s="7" t="s">
        <v>49</v>
      </c>
      <c r="D11" s="33" t="s">
        <v>50</v>
      </c>
      <c r="E11" s="96">
        <v>842.6</v>
      </c>
      <c r="F11" s="48"/>
      <c r="G11" s="97" t="s">
        <v>86</v>
      </c>
      <c r="H11" s="98" t="s">
        <v>86</v>
      </c>
      <c r="I11" s="99" t="s">
        <v>86</v>
      </c>
      <c r="J11" s="100" t="s">
        <v>86</v>
      </c>
      <c r="K11" s="48"/>
      <c r="L11" s="101" t="s">
        <v>86</v>
      </c>
      <c r="M11" s="102" t="s">
        <v>86</v>
      </c>
      <c r="N11" s="48"/>
      <c r="O11" s="103" t="s">
        <v>86</v>
      </c>
      <c r="P11" s="104" t="s">
        <v>86</v>
      </c>
    </row>
    <row r="12" spans="1:16" ht="14.4">
      <c r="A12" s="67"/>
      <c r="B12" s="4" t="s">
        <v>38</v>
      </c>
      <c r="C12" s="7" t="s">
        <v>51</v>
      </c>
      <c r="D12" s="33" t="s">
        <v>52</v>
      </c>
      <c r="E12" s="96">
        <v>842.6</v>
      </c>
      <c r="F12" s="48"/>
      <c r="G12" s="55">
        <v>257</v>
      </c>
      <c r="H12" s="6">
        <f t="shared" si="0"/>
        <v>3891050.5836575869</v>
      </c>
      <c r="I12" s="3">
        <f t="shared" si="1"/>
        <v>2.9267160000000002E-3</v>
      </c>
      <c r="J12" s="56">
        <v>0.3</v>
      </c>
      <c r="K12" s="48"/>
      <c r="L12" s="43">
        <f>MAX(ROUNDUP($L$5*E12*I12*J12,0),1)</f>
        <v>1</v>
      </c>
      <c r="M12" s="44">
        <f>MAX(ROUNDUP($M$5*E12*I12*J12,0),1)</f>
        <v>4</v>
      </c>
      <c r="N12" s="48"/>
      <c r="O12" s="49">
        <f>ROUNDUP($O$5*E12*I12,0)</f>
        <v>3</v>
      </c>
      <c r="P12" s="39">
        <f>ROUNDUP($P$5*E12*I12,0)</f>
        <v>13</v>
      </c>
    </row>
    <row r="13" spans="1:16" ht="14.4">
      <c r="A13" s="67"/>
      <c r="B13" s="4" t="s">
        <v>38</v>
      </c>
      <c r="C13" s="7" t="s">
        <v>53</v>
      </c>
      <c r="D13" s="33" t="s">
        <v>54</v>
      </c>
      <c r="E13" s="96">
        <v>842.6</v>
      </c>
      <c r="F13" s="48"/>
      <c r="G13" s="97" t="s">
        <v>86</v>
      </c>
      <c r="H13" s="98" t="s">
        <v>86</v>
      </c>
      <c r="I13" s="99" t="s">
        <v>86</v>
      </c>
      <c r="J13" s="100" t="s">
        <v>86</v>
      </c>
      <c r="K13" s="48"/>
      <c r="L13" s="101" t="s">
        <v>86</v>
      </c>
      <c r="M13" s="102" t="s">
        <v>86</v>
      </c>
      <c r="N13" s="48"/>
      <c r="O13" s="103" t="s">
        <v>86</v>
      </c>
      <c r="P13" s="104" t="s">
        <v>86</v>
      </c>
    </row>
    <row r="14" spans="1:16" ht="14.4">
      <c r="A14" s="67"/>
      <c r="B14" s="4" t="s">
        <v>38</v>
      </c>
      <c r="C14" s="7" t="s">
        <v>55</v>
      </c>
      <c r="D14" s="33" t="s">
        <v>56</v>
      </c>
      <c r="E14" s="96">
        <v>842.6</v>
      </c>
      <c r="F14" s="48"/>
      <c r="G14" s="55">
        <v>3262</v>
      </c>
      <c r="H14" s="6">
        <f t="shared" si="0"/>
        <v>306560.39239730226</v>
      </c>
      <c r="I14" s="3">
        <f t="shared" si="1"/>
        <v>3.7147656000000001E-2</v>
      </c>
      <c r="J14" s="56">
        <v>0.3</v>
      </c>
      <c r="K14" s="48"/>
      <c r="L14" s="43">
        <f>MAX(ROUNDUP($L$5*E14*I14*J14,0),1)</f>
        <v>10</v>
      </c>
      <c r="M14" s="44">
        <f>MAX(ROUNDUP($M$5*E14*I14*J14,0),1)</f>
        <v>47</v>
      </c>
      <c r="N14" s="48"/>
      <c r="O14" s="49">
        <f>ROUNDUP($O$5*E14*I14,0)</f>
        <v>32</v>
      </c>
      <c r="P14" s="39">
        <f>ROUNDUP($P$5*E14*I14,0)</f>
        <v>157</v>
      </c>
    </row>
    <row r="15" spans="1:16" ht="14.4">
      <c r="A15" s="67"/>
      <c r="B15" s="4" t="s">
        <v>38</v>
      </c>
      <c r="C15" s="7" t="s">
        <v>57</v>
      </c>
      <c r="D15" s="33" t="s">
        <v>58</v>
      </c>
      <c r="E15" s="96">
        <v>842.6</v>
      </c>
      <c r="F15" s="48"/>
      <c r="G15" s="55">
        <v>2876</v>
      </c>
      <c r="H15" s="6">
        <f t="shared" si="0"/>
        <v>347705.14603616134</v>
      </c>
      <c r="I15" s="3">
        <f t="shared" si="1"/>
        <v>3.2751888E-2</v>
      </c>
      <c r="J15" s="56">
        <v>0.3</v>
      </c>
      <c r="K15" s="48"/>
      <c r="L15" s="43">
        <f>MAX(ROUNDUP($L$5*E15*I15*J15,0),1)</f>
        <v>9</v>
      </c>
      <c r="M15" s="44">
        <f>MAX(ROUNDUP($M$5*E15*I15*J15,0),1)</f>
        <v>42</v>
      </c>
      <c r="N15" s="48"/>
      <c r="O15" s="49">
        <f>ROUNDUP($O$5*E15*I15,0)</f>
        <v>28</v>
      </c>
      <c r="P15" s="39">
        <f>ROUNDUP($P$5*E15*I15,0)</f>
        <v>138</v>
      </c>
    </row>
    <row r="16" spans="1:16" ht="14.4">
      <c r="A16" s="67"/>
      <c r="B16" s="4" t="s">
        <v>38</v>
      </c>
      <c r="C16" s="7" t="s">
        <v>59</v>
      </c>
      <c r="D16" s="33" t="s">
        <v>60</v>
      </c>
      <c r="E16" s="96">
        <v>842.6</v>
      </c>
      <c r="F16" s="48"/>
      <c r="G16" s="97" t="s">
        <v>86</v>
      </c>
      <c r="H16" s="98" t="s">
        <v>86</v>
      </c>
      <c r="I16" s="99" t="s">
        <v>86</v>
      </c>
      <c r="J16" s="100" t="s">
        <v>86</v>
      </c>
      <c r="K16" s="48"/>
      <c r="L16" s="101" t="s">
        <v>86</v>
      </c>
      <c r="M16" s="102" t="s">
        <v>86</v>
      </c>
      <c r="N16" s="48"/>
      <c r="O16" s="103" t="s">
        <v>86</v>
      </c>
      <c r="P16" s="104" t="s">
        <v>86</v>
      </c>
    </row>
    <row r="17" spans="1:16" ht="14.4">
      <c r="A17" s="67"/>
      <c r="B17" s="4" t="s">
        <v>38</v>
      </c>
      <c r="C17" s="7" t="s">
        <v>61</v>
      </c>
      <c r="D17" s="33" t="s">
        <v>62</v>
      </c>
      <c r="E17" s="96">
        <v>1188</v>
      </c>
      <c r="F17" s="48"/>
      <c r="G17" s="55">
        <v>4295</v>
      </c>
      <c r="H17" s="6">
        <f t="shared" ref="H17" si="6">1/(G17*nano)</f>
        <v>232828.87077997669</v>
      </c>
      <c r="I17" s="3">
        <f t="shared" ref="I17" si="7">G17*0.000000001*hours_per_year*factor_NFF</f>
        <v>4.8911460000000004E-2</v>
      </c>
      <c r="J17" s="56">
        <v>0.3</v>
      </c>
      <c r="K17" s="48"/>
      <c r="L17" s="43">
        <f>MAX(ROUNDUP($L$5*E17*I17*J17,0),1)</f>
        <v>18</v>
      </c>
      <c r="M17" s="44">
        <f>MAX(ROUNDUP($M$5*E17*I17*J17,0),1)</f>
        <v>88</v>
      </c>
      <c r="N17" s="48"/>
      <c r="O17" s="49">
        <f>ROUNDUP($O$5*E17*I17,0)</f>
        <v>59</v>
      </c>
      <c r="P17" s="39">
        <f>ROUNDUP($P$5*E17*I17,0)</f>
        <v>291</v>
      </c>
    </row>
    <row r="18" spans="1:16" customFormat="1" ht="14.4">
      <c r="B18" s="4" t="s">
        <v>38</v>
      </c>
      <c r="C18" s="7" t="s">
        <v>63</v>
      </c>
      <c r="D18" s="33" t="s">
        <v>64</v>
      </c>
      <c r="E18" s="96">
        <v>1188</v>
      </c>
      <c r="F18" s="48"/>
      <c r="G18" s="97" t="s">
        <v>86</v>
      </c>
      <c r="H18" s="98" t="s">
        <v>86</v>
      </c>
      <c r="I18" s="99" t="s">
        <v>86</v>
      </c>
      <c r="J18" s="100" t="s">
        <v>86</v>
      </c>
      <c r="K18" s="48"/>
      <c r="L18" s="101" t="s">
        <v>86</v>
      </c>
      <c r="M18" s="102" t="s">
        <v>86</v>
      </c>
      <c r="N18" s="48"/>
      <c r="O18" s="103" t="s">
        <v>86</v>
      </c>
      <c r="P18" s="104" t="s">
        <v>86</v>
      </c>
    </row>
    <row r="19" spans="1:16" customFormat="1" ht="14.4">
      <c r="B19" s="4" t="s">
        <v>65</v>
      </c>
      <c r="C19" s="7" t="s">
        <v>66</v>
      </c>
      <c r="D19" s="33" t="s">
        <v>67</v>
      </c>
      <c r="E19" s="96">
        <v>1905.2</v>
      </c>
      <c r="F19" s="48"/>
      <c r="G19" s="55">
        <v>219</v>
      </c>
      <c r="H19" s="6">
        <f t="shared" ref="H19:H20" si="8">1/(G19*nano)</f>
        <v>4566210.0456621004</v>
      </c>
      <c r="I19" s="3">
        <f t="shared" ref="I19:I20" si="9">G19*0.000000001*hours_per_year*factor_NFF</f>
        <v>2.4939720000000005E-3</v>
      </c>
      <c r="J19" s="56">
        <v>1</v>
      </c>
      <c r="K19" s="48"/>
      <c r="L19" s="43">
        <f t="shared" ref="L19:L20" si="10">MAX(ROUNDUP($L$5*E19*I19*J19,0),1)</f>
        <v>5</v>
      </c>
      <c r="M19" s="44">
        <f t="shared" ref="M19:M20" si="11">MAX(ROUNDUP($M$5*E19*I19*J19,0),1)</f>
        <v>24</v>
      </c>
      <c r="N19" s="48"/>
      <c r="O19" s="49">
        <f t="shared" ref="O19:O20" si="12">ROUNDUP($O$5*E19*I19,0)</f>
        <v>5</v>
      </c>
      <c r="P19" s="39">
        <f t="shared" ref="P19:P20" si="13">ROUNDUP($P$5*E19*I19,0)</f>
        <v>24</v>
      </c>
    </row>
    <row r="20" spans="1:16" customFormat="1" ht="14.4">
      <c r="B20" s="4" t="s">
        <v>65</v>
      </c>
      <c r="C20" s="7" t="s">
        <v>68</v>
      </c>
      <c r="D20" s="33" t="s">
        <v>69</v>
      </c>
      <c r="E20" s="96">
        <v>1520.2</v>
      </c>
      <c r="F20" s="48"/>
      <c r="G20" s="55">
        <v>465</v>
      </c>
      <c r="H20" s="6">
        <f t="shared" si="8"/>
        <v>2150537.634408602</v>
      </c>
      <c r="I20" s="3">
        <f t="shared" si="9"/>
        <v>5.2954200000000012E-3</v>
      </c>
      <c r="J20" s="56">
        <v>1</v>
      </c>
      <c r="K20" s="48"/>
      <c r="L20" s="43">
        <f t="shared" si="10"/>
        <v>9</v>
      </c>
      <c r="M20" s="44">
        <f t="shared" si="11"/>
        <v>41</v>
      </c>
      <c r="N20" s="48"/>
      <c r="O20" s="49">
        <f t="shared" si="12"/>
        <v>9</v>
      </c>
      <c r="P20" s="39">
        <f t="shared" si="13"/>
        <v>41</v>
      </c>
    </row>
    <row r="21" spans="1:16" customFormat="1" ht="14.4">
      <c r="B21" s="4" t="s">
        <v>65</v>
      </c>
      <c r="C21" s="7" t="s">
        <v>70</v>
      </c>
      <c r="D21" s="33" t="s">
        <v>71</v>
      </c>
      <c r="E21" s="96">
        <v>1905.2</v>
      </c>
      <c r="F21" s="48"/>
      <c r="G21" s="97" t="s">
        <v>86</v>
      </c>
      <c r="H21" s="98" t="s">
        <v>86</v>
      </c>
      <c r="I21" s="99" t="s">
        <v>86</v>
      </c>
      <c r="J21" s="100" t="s">
        <v>86</v>
      </c>
      <c r="K21" s="48"/>
      <c r="L21" s="101" t="s">
        <v>86</v>
      </c>
      <c r="M21" s="102" t="s">
        <v>86</v>
      </c>
      <c r="N21" s="48"/>
      <c r="O21" s="103" t="s">
        <v>86</v>
      </c>
      <c r="P21" s="104" t="s">
        <v>86</v>
      </c>
    </row>
    <row r="22" spans="1:16" customFormat="1" ht="14.4">
      <c r="B22" s="4" t="s">
        <v>65</v>
      </c>
      <c r="C22" s="7" t="s">
        <v>72</v>
      </c>
      <c r="D22" s="33" t="s">
        <v>73</v>
      </c>
      <c r="E22" s="96">
        <v>7.7</v>
      </c>
      <c r="F22" s="48"/>
      <c r="G22" s="97" t="s">
        <v>86</v>
      </c>
      <c r="H22" s="98" t="s">
        <v>86</v>
      </c>
      <c r="I22" s="99" t="s">
        <v>86</v>
      </c>
      <c r="J22" s="100" t="s">
        <v>86</v>
      </c>
      <c r="K22" s="48"/>
      <c r="L22" s="101" t="s">
        <v>86</v>
      </c>
      <c r="M22" s="102" t="s">
        <v>86</v>
      </c>
      <c r="N22" s="48"/>
      <c r="O22" s="103" t="s">
        <v>86</v>
      </c>
      <c r="P22" s="104" t="s">
        <v>86</v>
      </c>
    </row>
    <row r="23" spans="1:16" customFormat="1" ht="14.4">
      <c r="B23" s="4" t="s">
        <v>65</v>
      </c>
      <c r="C23" s="7" t="s">
        <v>74</v>
      </c>
      <c r="D23" s="33" t="s">
        <v>75</v>
      </c>
      <c r="E23" s="96">
        <v>3425.4</v>
      </c>
      <c r="F23" s="48"/>
      <c r="G23" s="97" t="s">
        <v>86</v>
      </c>
      <c r="H23" s="98" t="s">
        <v>86</v>
      </c>
      <c r="I23" s="99" t="s">
        <v>86</v>
      </c>
      <c r="J23" s="100" t="s">
        <v>86</v>
      </c>
      <c r="K23" s="48"/>
      <c r="L23" s="101" t="s">
        <v>86</v>
      </c>
      <c r="M23" s="102" t="s">
        <v>86</v>
      </c>
      <c r="N23" s="48"/>
      <c r="O23" s="103" t="s">
        <v>86</v>
      </c>
      <c r="P23" s="104" t="s">
        <v>86</v>
      </c>
    </row>
    <row r="24" spans="1:16" customFormat="1" ht="14.4">
      <c r="B24" s="4" t="s">
        <v>76</v>
      </c>
      <c r="C24" s="7" t="s">
        <v>77</v>
      </c>
      <c r="D24" s="33" t="s">
        <v>78</v>
      </c>
      <c r="E24" s="96">
        <v>1905.2</v>
      </c>
      <c r="F24" s="48"/>
      <c r="G24" s="97" t="s">
        <v>86</v>
      </c>
      <c r="H24" s="98" t="s">
        <v>86</v>
      </c>
      <c r="I24" s="99" t="s">
        <v>86</v>
      </c>
      <c r="J24" s="100" t="s">
        <v>86</v>
      </c>
      <c r="K24" s="48"/>
      <c r="L24" s="101" t="s">
        <v>86</v>
      </c>
      <c r="M24" s="102" t="s">
        <v>86</v>
      </c>
      <c r="N24" s="48"/>
      <c r="O24" s="103" t="s">
        <v>86</v>
      </c>
      <c r="P24" s="104" t="s">
        <v>86</v>
      </c>
    </row>
    <row r="25" spans="1:16" customFormat="1" ht="14.4">
      <c r="B25" s="4" t="s">
        <v>76</v>
      </c>
      <c r="C25" s="7" t="s">
        <v>79</v>
      </c>
      <c r="D25" s="33" t="s">
        <v>80</v>
      </c>
      <c r="E25" s="96">
        <v>1905.2</v>
      </c>
      <c r="F25" s="48"/>
      <c r="G25" s="97" t="s">
        <v>86</v>
      </c>
      <c r="H25" s="98" t="s">
        <v>86</v>
      </c>
      <c r="I25" s="99" t="s">
        <v>86</v>
      </c>
      <c r="J25" s="100" t="s">
        <v>86</v>
      </c>
      <c r="K25" s="48"/>
      <c r="L25" s="101" t="s">
        <v>86</v>
      </c>
      <c r="M25" s="102" t="s">
        <v>86</v>
      </c>
      <c r="N25" s="48"/>
      <c r="O25" s="103" t="s">
        <v>86</v>
      </c>
      <c r="P25" s="104" t="s">
        <v>86</v>
      </c>
    </row>
    <row r="26" spans="1:16" customFormat="1" ht="14.4">
      <c r="B26" s="4" t="s">
        <v>81</v>
      </c>
      <c r="C26" s="7" t="s">
        <v>82</v>
      </c>
      <c r="D26" s="33" t="s">
        <v>83</v>
      </c>
      <c r="E26" s="96">
        <v>7.7</v>
      </c>
      <c r="F26" s="48"/>
      <c r="G26" s="97" t="s">
        <v>86</v>
      </c>
      <c r="H26" s="98" t="s">
        <v>86</v>
      </c>
      <c r="I26" s="99" t="s">
        <v>86</v>
      </c>
      <c r="J26" s="100" t="s">
        <v>86</v>
      </c>
      <c r="K26" s="48"/>
      <c r="L26" s="101" t="s">
        <v>86</v>
      </c>
      <c r="M26" s="102" t="s">
        <v>86</v>
      </c>
      <c r="N26" s="48"/>
      <c r="O26" s="103" t="s">
        <v>86</v>
      </c>
      <c r="P26" s="104" t="s">
        <v>86</v>
      </c>
    </row>
    <row r="27" spans="1:16" customFormat="1" ht="14.4">
      <c r="B27" s="4" t="s">
        <v>38</v>
      </c>
      <c r="C27" s="7" t="s">
        <v>84</v>
      </c>
      <c r="D27" s="33" t="s">
        <v>85</v>
      </c>
      <c r="E27" s="96">
        <v>1</v>
      </c>
      <c r="F27" s="48"/>
      <c r="G27" s="97" t="s">
        <v>86</v>
      </c>
      <c r="H27" s="98" t="s">
        <v>86</v>
      </c>
      <c r="I27" s="99" t="s">
        <v>86</v>
      </c>
      <c r="J27" s="100" t="s">
        <v>86</v>
      </c>
      <c r="K27" s="48"/>
      <c r="L27" s="101" t="s">
        <v>86</v>
      </c>
      <c r="M27" s="102" t="s">
        <v>86</v>
      </c>
      <c r="N27" s="48"/>
      <c r="O27" s="103" t="s">
        <v>86</v>
      </c>
      <c r="P27" s="104" t="s">
        <v>86</v>
      </c>
    </row>
    <row r="28" spans="1:16" customFormat="1" ht="14.4"/>
    <row r="29" spans="1:16" customFormat="1" ht="14.4"/>
    <row r="30" spans="1:16" customFormat="1" ht="14.4"/>
    <row r="31" spans="1:16" customFormat="1" ht="14.4"/>
    <row r="32" spans="1:16" customFormat="1" ht="14.4"/>
    <row r="33" spans="14:15" customFormat="1" ht="14.4"/>
    <row r="34" spans="14:15" customFormat="1" ht="14.4"/>
    <row r="35" spans="14:15" customFormat="1" ht="14.4"/>
    <row r="36" spans="14:15" customFormat="1" ht="14.4"/>
    <row r="37" spans="14:15">
      <c r="N37" s="2"/>
      <c r="O37" s="1"/>
    </row>
    <row r="38" spans="14:15">
      <c r="N38" s="2"/>
      <c r="O38" s="1"/>
    </row>
  </sheetData>
  <mergeCells count="7">
    <mergeCell ref="L3:M3"/>
    <mergeCell ref="O2:P2"/>
    <mergeCell ref="O3:P3"/>
    <mergeCell ref="A2:E2"/>
    <mergeCell ref="G2:J3"/>
    <mergeCell ref="A3:E3"/>
    <mergeCell ref="L2:M2"/>
  </mergeCells>
  <conditionalFormatting sqref="G7:J7 G19:J20 H6:J6 H8:J27">
    <cfRule type="cellIs" dxfId="3" priority="8" stopIfTrue="1" operator="equal">
      <formula>0</formula>
    </cfRule>
  </conditionalFormatting>
  <conditionalFormatting sqref="G8:G18">
    <cfRule type="cellIs" dxfId="2" priority="3" stopIfTrue="1" operator="equal">
      <formula>0</formula>
    </cfRule>
  </conditionalFormatting>
  <conditionalFormatting sqref="G6">
    <cfRule type="cellIs" dxfId="1" priority="2" stopIfTrue="1" operator="equal">
      <formula>0</formula>
    </cfRule>
  </conditionalFormatting>
  <conditionalFormatting sqref="G21:G27">
    <cfRule type="cellIs" dxfId="0" priority="1" stopIfTrue="1" operator="equal">
      <formula>0</formula>
    </cfRule>
  </conditionalFormatting>
  <pageMargins left="0.7" right="0.7" top="0.75" bottom="0.75" header="0.3" footer="0.3"/>
  <pageSetup paperSize="9" scale="52" orientation="landscape" verticalDpi="0" r:id="rId1"/>
  <headerFooter>
    <oddHeader xml:space="preserve">&amp;CEgypt L1&amp;REd01&amp;L&amp;"Arial Black"&amp;10&amp;K76923C&amp;1#_x000D_&amp;"Calibri"&amp;11&amp;K000000&amp;"Calibri"&amp;11&amp;K000000&amp;"Calibri"&amp;11&amp;K000000&amp;"Calibri"&amp;11&amp;K000000&amp;"Calibri"&amp;11&amp;K000000&amp;"Calibri"&amp;11&amp;K000000&amp;"Calibri"&amp;11&amp;K000000&amp;"Calibri"&amp;11&amp;K000000Spare parts calculation
</oddHeader>
    <oddFooter>&amp;L&amp;D&amp;C&amp;"Calibri"&amp;11&amp;K000000&amp;"Calibri"&amp;11&amp;K0000001/2_x000D_&amp;1#&amp;"Arial Black"&amp;10&amp;K76923C{Hitachi Rail – Internal}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70D3-6904-4914-85B6-94D55E97534A}">
  <dimension ref="A1:N40"/>
  <sheetViews>
    <sheetView showGridLines="0" view="pageBreakPreview" zoomScale="115" zoomScaleNormal="100" zoomScaleSheetLayoutView="115" workbookViewId="0">
      <selection activeCell="E29" sqref="E29:L29"/>
    </sheetView>
  </sheetViews>
  <sheetFormatPr defaultColWidth="9.109375" defaultRowHeight="13.2"/>
  <cols>
    <col min="1" max="1" width="2.33203125" style="12" customWidth="1"/>
    <col min="2" max="2" width="11.33203125" style="12" customWidth="1"/>
    <col min="3" max="3" width="25.88671875" style="12" customWidth="1"/>
    <col min="4" max="11" width="9.109375" style="12"/>
    <col min="12" max="12" width="6.6640625" style="12" customWidth="1"/>
    <col min="13" max="13" width="4" style="12" customWidth="1"/>
    <col min="14" max="14" width="6" style="12" customWidth="1"/>
    <col min="15" max="16384" width="9.109375" style="12"/>
  </cols>
  <sheetData>
    <row r="1" spans="1:14" ht="8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8.5" customHeight="1">
      <c r="A2" s="32"/>
      <c r="B2" s="31" t="s">
        <v>24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3.8">
      <c r="A3" s="13"/>
      <c r="B3" s="17"/>
      <c r="C3" s="27"/>
      <c r="D3" s="24"/>
      <c r="E3" s="26"/>
      <c r="F3" s="25"/>
      <c r="G3" s="25"/>
      <c r="H3" s="25"/>
      <c r="I3" s="25"/>
      <c r="J3" s="25"/>
      <c r="K3" s="25"/>
      <c r="L3" s="25"/>
      <c r="M3" s="24"/>
      <c r="N3" s="17"/>
    </row>
    <row r="4" spans="1:14" s="1" customFormat="1" ht="50.25" customHeight="1">
      <c r="A4" s="29"/>
      <c r="B4" s="28"/>
      <c r="C4" s="38" t="s">
        <v>29</v>
      </c>
      <c r="D4" s="68" t="s">
        <v>35</v>
      </c>
      <c r="E4" s="68"/>
      <c r="F4" s="68"/>
      <c r="G4" s="68"/>
      <c r="H4" s="68"/>
      <c r="I4" s="68"/>
      <c r="J4" s="68"/>
      <c r="K4" s="68"/>
      <c r="L4" s="68"/>
      <c r="M4" s="34"/>
      <c r="N4" s="28"/>
    </row>
    <row r="5" spans="1:14" ht="9" customHeight="1">
      <c r="A5" s="13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37.5" customHeight="1">
      <c r="A6" s="13"/>
      <c r="B6" s="17"/>
      <c r="C6" s="22" t="s">
        <v>23</v>
      </c>
      <c r="D6" s="69" t="s">
        <v>28</v>
      </c>
      <c r="E6" s="69"/>
      <c r="F6" s="69"/>
      <c r="G6" s="69"/>
      <c r="H6" s="69"/>
      <c r="I6" s="69"/>
      <c r="J6" s="69"/>
      <c r="K6" s="69"/>
      <c r="L6" s="69"/>
      <c r="M6" s="69"/>
      <c r="N6" s="17"/>
    </row>
    <row r="7" spans="1:14" s="1" customFormat="1" ht="50.25" customHeight="1">
      <c r="A7" s="29"/>
      <c r="B7" s="28"/>
      <c r="C7" s="29"/>
      <c r="D7" s="68"/>
      <c r="E7" s="68"/>
      <c r="F7" s="68"/>
      <c r="G7" s="68"/>
      <c r="H7" s="68"/>
      <c r="I7" s="68"/>
      <c r="J7" s="68"/>
      <c r="K7" s="68"/>
      <c r="L7" s="68"/>
      <c r="M7" s="68"/>
      <c r="N7" s="28"/>
    </row>
    <row r="8" spans="1:14" s="1" customFormat="1" ht="40.5" customHeight="1">
      <c r="A8" s="29"/>
      <c r="B8" s="28"/>
      <c r="C8" s="29"/>
      <c r="D8" s="68" t="s">
        <v>27</v>
      </c>
      <c r="E8" s="68"/>
      <c r="F8" s="68"/>
      <c r="G8" s="68"/>
      <c r="H8" s="68"/>
      <c r="I8" s="68"/>
      <c r="J8" s="68"/>
      <c r="K8" s="68"/>
      <c r="L8" s="68"/>
      <c r="M8" s="34"/>
      <c r="N8" s="28"/>
    </row>
    <row r="9" spans="1:14" s="1" customFormat="1" ht="40.5" customHeight="1">
      <c r="A9" s="29"/>
      <c r="B9" s="28"/>
      <c r="C9" s="29"/>
      <c r="D9" s="68"/>
      <c r="E9" s="68"/>
      <c r="F9" s="68"/>
      <c r="G9" s="68"/>
      <c r="H9" s="68"/>
      <c r="I9" s="68"/>
      <c r="J9" s="68"/>
      <c r="K9" s="68"/>
      <c r="L9" s="68"/>
      <c r="M9" s="68"/>
      <c r="N9" s="28"/>
    </row>
    <row r="10" spans="1:14" ht="13.8">
      <c r="A10" s="13"/>
      <c r="B10" s="17"/>
      <c r="C10" s="27"/>
      <c r="D10" s="24"/>
      <c r="E10" s="26"/>
      <c r="F10" s="25"/>
      <c r="G10" s="25"/>
      <c r="H10" s="25"/>
      <c r="I10" s="25"/>
      <c r="J10" s="25"/>
      <c r="K10" s="25"/>
      <c r="L10" s="25"/>
      <c r="M10" s="24"/>
      <c r="N10" s="17"/>
    </row>
    <row r="11" spans="1:14" ht="50.25" customHeight="1">
      <c r="A11" s="13"/>
      <c r="B11" s="17"/>
      <c r="C11" s="23" t="s">
        <v>22</v>
      </c>
      <c r="D11" s="73" t="s">
        <v>21</v>
      </c>
      <c r="E11" s="73"/>
      <c r="F11" s="73"/>
      <c r="G11" s="73"/>
      <c r="H11" s="73"/>
      <c r="I11" s="73"/>
      <c r="J11" s="73"/>
      <c r="K11" s="73"/>
      <c r="L11" s="73"/>
      <c r="M11" s="73"/>
      <c r="N11" s="17"/>
    </row>
    <row r="12" spans="1:14" ht="13.8">
      <c r="A12" s="13"/>
      <c r="B12" s="17"/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17"/>
    </row>
    <row r="13" spans="1:14" ht="32.25" customHeight="1">
      <c r="A13" s="13"/>
      <c r="B13" s="17"/>
      <c r="C13" s="22" t="s">
        <v>20</v>
      </c>
      <c r="D13" s="77" t="s">
        <v>37</v>
      </c>
      <c r="E13" s="77"/>
      <c r="F13" s="77"/>
      <c r="G13" s="77"/>
      <c r="H13" s="77"/>
      <c r="I13" s="77"/>
      <c r="J13" s="77"/>
      <c r="K13" s="77"/>
      <c r="L13" s="77"/>
      <c r="M13" s="21"/>
      <c r="N13" s="17"/>
    </row>
    <row r="14" spans="1:14" s="54" customFormat="1" ht="13.8">
      <c r="A14" s="50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spans="1:14" s="54" customFormat="1" ht="13.8">
      <c r="A15" s="50"/>
      <c r="B15" s="51"/>
      <c r="C15" s="52" t="s">
        <v>32</v>
      </c>
      <c r="D15" s="53" t="s">
        <v>33</v>
      </c>
      <c r="E15" s="53"/>
      <c r="F15" s="53"/>
      <c r="G15" s="53"/>
      <c r="H15" s="53"/>
      <c r="I15" s="53"/>
      <c r="J15" s="53"/>
      <c r="K15" s="53"/>
      <c r="L15" s="53"/>
      <c r="M15" s="53"/>
      <c r="N15" s="51"/>
    </row>
    <row r="16" spans="1:14" s="54" customFormat="1" ht="13.8">
      <c r="A16" s="50"/>
      <c r="B16" s="51"/>
      <c r="C16" s="50"/>
      <c r="D16" s="50"/>
      <c r="E16" s="50" t="s">
        <v>17</v>
      </c>
      <c r="F16" s="50"/>
      <c r="G16" s="50"/>
      <c r="H16" s="50" t="s">
        <v>16</v>
      </c>
      <c r="I16" s="50"/>
      <c r="J16" s="50"/>
      <c r="K16" s="50"/>
      <c r="L16" s="50"/>
      <c r="M16" s="50"/>
      <c r="N16" s="51"/>
    </row>
    <row r="17" spans="1:14" s="54" customFormat="1" ht="13.8">
      <c r="A17" s="50"/>
      <c r="B17" s="51"/>
      <c r="C17" s="50"/>
      <c r="D17" s="50"/>
      <c r="E17" s="50" t="s">
        <v>15</v>
      </c>
      <c r="F17" s="50"/>
      <c r="G17" s="50"/>
      <c r="H17" s="50" t="s">
        <v>14</v>
      </c>
      <c r="I17" s="50"/>
      <c r="J17" s="50"/>
      <c r="K17" s="50"/>
      <c r="L17" s="50"/>
      <c r="M17" s="50"/>
      <c r="N17" s="51"/>
    </row>
    <row r="18" spans="1:14" ht="13.8" hidden="1">
      <c r="A18" s="13"/>
      <c r="B18" s="17"/>
      <c r="C18" s="20" t="s">
        <v>19</v>
      </c>
      <c r="D18" s="18" t="s">
        <v>18</v>
      </c>
      <c r="E18" s="18"/>
      <c r="F18" s="18"/>
      <c r="G18" s="18"/>
      <c r="H18" s="18"/>
      <c r="I18" s="18"/>
      <c r="J18" s="18"/>
      <c r="K18" s="18"/>
      <c r="L18" s="18"/>
      <c r="M18" s="18"/>
      <c r="N18" s="17"/>
    </row>
    <row r="19" spans="1:14" ht="13.8" hidden="1">
      <c r="A19" s="13"/>
      <c r="B19" s="17"/>
      <c r="C19" s="13"/>
      <c r="D19" s="13"/>
      <c r="E19" s="13" t="s">
        <v>17</v>
      </c>
      <c r="F19" s="13"/>
      <c r="G19" s="13"/>
      <c r="H19" s="13" t="s">
        <v>16</v>
      </c>
      <c r="I19" s="13"/>
      <c r="J19" s="13"/>
      <c r="K19" s="13"/>
      <c r="L19" s="13"/>
      <c r="M19" s="13"/>
      <c r="N19" s="17"/>
    </row>
    <row r="20" spans="1:14" ht="13.8" hidden="1">
      <c r="A20" s="13"/>
      <c r="B20" s="17"/>
      <c r="C20" s="13"/>
      <c r="D20" s="13"/>
      <c r="E20" s="13" t="s">
        <v>15</v>
      </c>
      <c r="F20" s="13"/>
      <c r="G20" s="13"/>
      <c r="H20" s="13" t="s">
        <v>14</v>
      </c>
      <c r="I20" s="13"/>
      <c r="J20" s="13"/>
      <c r="K20" s="13"/>
      <c r="L20" s="13"/>
      <c r="M20" s="13"/>
      <c r="N20" s="17"/>
    </row>
    <row r="21" spans="1:14" ht="6" hidden="1" customHeight="1">
      <c r="A21" s="13"/>
      <c r="B21" s="17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7"/>
    </row>
    <row r="22" spans="1:14" ht="31.5" hidden="1" customHeight="1">
      <c r="A22" s="13"/>
      <c r="B22" s="17"/>
      <c r="C22" s="13"/>
      <c r="D22" s="13"/>
      <c r="E22" s="74" t="s">
        <v>13</v>
      </c>
      <c r="F22" s="74"/>
      <c r="G22" s="74"/>
      <c r="H22" s="74"/>
      <c r="I22" s="74"/>
      <c r="J22" s="74"/>
      <c r="K22" s="74"/>
      <c r="L22" s="74"/>
      <c r="M22" s="13"/>
      <c r="N22" s="17"/>
    </row>
    <row r="23" spans="1:14" ht="13.8" hidden="1">
      <c r="A23" s="13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ht="13.8" hidden="1">
      <c r="A24" s="13"/>
      <c r="B24" s="17"/>
      <c r="C24" s="20" t="s">
        <v>12</v>
      </c>
      <c r="D24" s="18" t="s">
        <v>11</v>
      </c>
      <c r="E24" s="18"/>
      <c r="F24" s="18"/>
      <c r="G24" s="18"/>
      <c r="H24" s="18"/>
      <c r="I24" s="18"/>
      <c r="J24" s="18"/>
      <c r="K24" s="18"/>
      <c r="L24" s="18"/>
      <c r="M24" s="18"/>
      <c r="N24" s="17"/>
    </row>
    <row r="25" spans="1:14" ht="13.8" hidden="1">
      <c r="A25" s="13"/>
      <c r="B25" s="17"/>
      <c r="C25" s="19"/>
      <c r="D25" s="13"/>
      <c r="E25" s="13" t="s">
        <v>10</v>
      </c>
      <c r="F25" s="13"/>
      <c r="G25" s="13"/>
      <c r="H25" s="13" t="s">
        <v>9</v>
      </c>
      <c r="I25" s="13"/>
      <c r="J25" s="13"/>
      <c r="K25" s="13"/>
      <c r="L25" s="13"/>
      <c r="M25" s="13"/>
      <c r="N25" s="17"/>
    </row>
    <row r="26" spans="1:14" ht="27.75" hidden="1" customHeight="1">
      <c r="A26" s="13"/>
      <c r="B26" s="17"/>
      <c r="C26" s="13"/>
      <c r="D26" s="13"/>
      <c r="E26" s="18"/>
      <c r="F26" s="18"/>
      <c r="G26" s="18"/>
      <c r="H26" s="18"/>
      <c r="I26" s="18"/>
      <c r="J26" s="18"/>
      <c r="K26" s="18"/>
      <c r="L26" s="18"/>
      <c r="M26" s="13"/>
      <c r="N26" s="17"/>
    </row>
    <row r="27" spans="1:14" ht="9" hidden="1" customHeight="1">
      <c r="A27" s="13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ht="7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4.4">
      <c r="A29" s="14"/>
      <c r="B29" s="13"/>
      <c r="C29" s="16"/>
      <c r="D29" s="14"/>
      <c r="E29" s="76" t="s">
        <v>13</v>
      </c>
      <c r="F29" s="76"/>
      <c r="G29" s="76"/>
      <c r="H29" s="76"/>
      <c r="I29" s="76"/>
      <c r="J29" s="76"/>
      <c r="K29" s="76"/>
      <c r="L29" s="76"/>
      <c r="M29" s="13"/>
      <c r="N29" s="13"/>
    </row>
    <row r="30" spans="1:14" ht="15" customHeight="1">
      <c r="A30" s="13"/>
      <c r="B30" s="15"/>
      <c r="C30" s="70" t="s">
        <v>25</v>
      </c>
      <c r="D30" s="70"/>
      <c r="E30" s="70"/>
      <c r="F30" s="70"/>
      <c r="G30" s="70"/>
      <c r="H30" s="70"/>
      <c r="I30" s="70"/>
      <c r="J30" s="70"/>
      <c r="K30" s="13"/>
      <c r="L30" s="13"/>
      <c r="M30" s="13"/>
      <c r="N30" s="13"/>
    </row>
    <row r="31" spans="1:14" ht="14.4">
      <c r="A31" s="13"/>
      <c r="B31" s="15"/>
      <c r="C31" s="75" t="s">
        <v>26</v>
      </c>
      <c r="D31" s="75"/>
      <c r="E31" s="75"/>
      <c r="F31" s="75"/>
      <c r="G31" s="75"/>
      <c r="H31" s="35"/>
      <c r="I31" s="35"/>
      <c r="J31" s="35"/>
      <c r="K31" s="13"/>
      <c r="L31" s="13"/>
      <c r="M31" s="13"/>
      <c r="N31" s="13"/>
    </row>
    <row r="32" spans="1:14" ht="14.4">
      <c r="A32" s="13"/>
      <c r="B32" s="15"/>
      <c r="C32" s="70"/>
      <c r="D32" s="71"/>
      <c r="E32" s="71"/>
      <c r="F32" s="13"/>
      <c r="G32" s="70"/>
      <c r="H32" s="72"/>
      <c r="I32" s="72"/>
      <c r="J32" s="72"/>
      <c r="K32" s="13"/>
      <c r="L32" s="13"/>
      <c r="M32" s="13"/>
      <c r="N32" s="13"/>
    </row>
    <row r="33" spans="1:14" ht="13.8">
      <c r="A33" s="13"/>
      <c r="B33" s="14"/>
      <c r="C33" s="14"/>
      <c r="D33" s="14"/>
      <c r="E33" s="14"/>
      <c r="F33" s="13"/>
      <c r="G33" s="13"/>
      <c r="H33" s="13"/>
      <c r="I33" s="13"/>
      <c r="J33" s="13"/>
      <c r="K33" s="13"/>
      <c r="L33" s="13"/>
      <c r="M33" s="13"/>
      <c r="N33" s="13"/>
    </row>
    <row r="34" spans="1:14" ht="13.8">
      <c r="A34" s="13"/>
      <c r="B34" s="14"/>
      <c r="C34" s="14"/>
      <c r="D34" s="14"/>
      <c r="E34" s="14"/>
      <c r="F34" s="13"/>
      <c r="G34" s="13"/>
      <c r="H34" s="13"/>
      <c r="I34" s="13"/>
      <c r="J34" s="13"/>
      <c r="K34" s="13"/>
      <c r="L34" s="13"/>
      <c r="M34" s="13"/>
      <c r="N34" s="13"/>
    </row>
    <row r="35" spans="1:14" ht="13.8">
      <c r="A35" s="13"/>
      <c r="B35" s="14"/>
      <c r="C35" s="14"/>
      <c r="D35" s="14"/>
      <c r="E35" s="14"/>
      <c r="F35" s="13"/>
      <c r="G35" s="13"/>
      <c r="H35" s="13"/>
      <c r="I35" s="13"/>
      <c r="J35" s="13"/>
      <c r="K35" s="13"/>
      <c r="L35" s="13"/>
      <c r="M35" s="13"/>
      <c r="N35" s="13"/>
    </row>
    <row r="36" spans="1:14" ht="13.8">
      <c r="A36" s="13"/>
      <c r="B36" s="14"/>
      <c r="C36" s="14"/>
      <c r="D36" s="14"/>
      <c r="E36" s="14"/>
      <c r="F36" s="13"/>
      <c r="G36" s="13"/>
      <c r="H36" s="13"/>
      <c r="I36" s="13"/>
      <c r="J36" s="13"/>
      <c r="K36" s="13"/>
      <c r="L36" s="13"/>
      <c r="M36" s="13"/>
      <c r="N36" s="13"/>
    </row>
    <row r="37" spans="1:14" ht="13.8">
      <c r="A37" s="13"/>
      <c r="B37" s="14"/>
      <c r="C37" s="14"/>
      <c r="D37" s="14"/>
      <c r="E37" s="14"/>
      <c r="F37" s="13"/>
      <c r="G37" s="13"/>
      <c r="H37" s="13"/>
      <c r="I37" s="13"/>
      <c r="J37" s="13"/>
      <c r="K37" s="13"/>
      <c r="L37" s="13"/>
      <c r="M37" s="13"/>
      <c r="N37" s="13"/>
    </row>
    <row r="38" spans="1:14" ht="13.8">
      <c r="A38" s="13"/>
      <c r="B38" s="14"/>
      <c r="C38" s="14"/>
      <c r="D38" s="14"/>
      <c r="E38" s="14"/>
      <c r="F38" s="13"/>
      <c r="G38" s="13"/>
      <c r="H38" s="13"/>
      <c r="I38" s="13"/>
      <c r="J38" s="13"/>
      <c r="K38" s="13"/>
      <c r="L38" s="13"/>
      <c r="M38" s="13"/>
      <c r="N38" s="13"/>
    </row>
    <row r="39" spans="1:14" ht="13.8">
      <c r="A39" s="13"/>
      <c r="B39" s="14"/>
      <c r="C39" s="14"/>
      <c r="D39" s="14"/>
      <c r="E39" s="14"/>
      <c r="F39" s="13"/>
      <c r="G39" s="13"/>
      <c r="H39" s="13"/>
      <c r="I39" s="13"/>
      <c r="J39" s="13"/>
      <c r="K39" s="13"/>
      <c r="L39" s="13"/>
      <c r="M39" s="13"/>
      <c r="N39" s="13"/>
    </row>
    <row r="40" spans="1:14" ht="13.8">
      <c r="A40" s="13"/>
      <c r="B40" s="14"/>
      <c r="C40" s="14"/>
      <c r="D40" s="14"/>
      <c r="E40" s="14"/>
      <c r="F40" s="13"/>
      <c r="G40" s="13"/>
      <c r="H40" s="13"/>
      <c r="I40" s="13"/>
      <c r="J40" s="13"/>
      <c r="K40" s="13"/>
      <c r="L40" s="13"/>
      <c r="M40" s="13"/>
      <c r="N40" s="13"/>
    </row>
  </sheetData>
  <mergeCells count="12">
    <mergeCell ref="D4:L4"/>
    <mergeCell ref="D6:M7"/>
    <mergeCell ref="C32:E32"/>
    <mergeCell ref="G32:J32"/>
    <mergeCell ref="D11:M11"/>
    <mergeCell ref="E22:L22"/>
    <mergeCell ref="D8:L8"/>
    <mergeCell ref="D9:M9"/>
    <mergeCell ref="C30:J30"/>
    <mergeCell ref="C31:G31"/>
    <mergeCell ref="E29:L29"/>
    <mergeCell ref="D13:L13"/>
  </mergeCells>
  <pageMargins left="0.7" right="0.7" top="0.75" bottom="0.75" header="0.3" footer="0.3"/>
  <pageSetup paperSize="9" scale="66" orientation="landscape" verticalDpi="0" r:id="rId1"/>
  <headerFooter>
    <oddHeader xml:space="preserve">&amp;CEgypt OBS
&amp;L&amp;"Arial Black"&amp;10&amp;K76923C&amp;1#_x000D_&amp;"Calibri"&amp;11&amp;K000000&amp;"Calibri"&amp;11&amp;K000000&amp;"Calibri"&amp;11&amp;K000000&amp;"Calibri"&amp;11&amp;K000000&amp;"Calibri"&amp;11&amp;K000000&amp;"Calibri"&amp;11&amp;K000000&amp;"Calibri"&amp;11&amp;K000000&amp;"Calibri"&amp;11&amp;K000000Spare parts calculation
</oddHeader>
    <oddFooter>&amp;C&amp;"Calibri"&amp;11&amp;K000000&amp;"Calibri"&amp;11&amp;K0000002/2_x000D_&amp;1#&amp;"Arial Black"&amp;10&amp;K76923C{Hitachi Rail – Internal}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SpareParts_Template</vt:lpstr>
      <vt:lpstr>Notes</vt:lpstr>
      <vt:lpstr>Notes!Print_Area</vt:lpstr>
      <vt:lpstr>SpareParts_Template!Print_Area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2026-09-01T10:17:18Z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c91a-b32e-488d-b670-a1d2c23c2c99_Enabled">
    <vt:lpwstr>true</vt:lpwstr>
  </property>
  <property fmtid="{D5CDD505-2E9C-101B-9397-08002B2CF9AE}" pid="3" name="MSIP_Label_ff38c91a-b32e-488d-b670-a1d2c23c2c99_SetDate">
    <vt:lpwstr>2024-08-05T10:50:13Z</vt:lpwstr>
  </property>
  <property fmtid="{D5CDD505-2E9C-101B-9397-08002B2CF9AE}" pid="4" name="MSIP_Label_ff38c91a-b32e-488d-b670-a1d2c23c2c99_Method">
    <vt:lpwstr>Privileged</vt:lpwstr>
  </property>
  <property fmtid="{D5CDD505-2E9C-101B-9397-08002B2CF9AE}" pid="5" name="MSIP_Label_ff38c91a-b32e-488d-b670-a1d2c23c2c99_Name">
    <vt:lpwstr>NEST-CORE-02</vt:lpwstr>
  </property>
  <property fmtid="{D5CDD505-2E9C-101B-9397-08002B2CF9AE}" pid="6" name="MSIP_Label_ff38c91a-b32e-488d-b670-a1d2c23c2c99_SiteId">
    <vt:lpwstr>f33c7791-13ed-4c20-878e-518e247895dc</vt:lpwstr>
  </property>
  <property fmtid="{D5CDD505-2E9C-101B-9397-08002B2CF9AE}" pid="7" name="MSIP_Label_ff38c91a-b32e-488d-b670-a1d2c23c2c99_ActionId">
    <vt:lpwstr>daf501d6-09c9-4431-aa70-1fe703e146a5</vt:lpwstr>
  </property>
  <property fmtid="{D5CDD505-2E9C-101B-9397-08002B2CF9AE}" pid="8" name="MSIP_Label_ff38c91a-b32e-488d-b670-a1d2c23c2c99_ContentBits">
    <vt:lpwstr>3</vt:lpwstr>
  </property>
</Properties>
</file>